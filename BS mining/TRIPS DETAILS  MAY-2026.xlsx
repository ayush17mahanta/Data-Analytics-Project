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hatsapp Daily folder\MAY-2026\"/>
    </mc:Choice>
  </mc:AlternateContent>
  <xr:revisionPtr revIDLastSave="0" documentId="13_ncr:1_{564F305A-3385-482A-8369-5331607D377A}" xr6:coauthVersionLast="47" xr6:coauthVersionMax="47" xr10:uidLastSave="{00000000-0000-0000-0000-000000000000}"/>
  <bookViews>
    <workbookView xWindow="-108" yWindow="-108" windowWidth="23256" windowHeight="12456" tabRatio="421" activeTab="2" xr2:uid="{00000000-000D-0000-FFFF-FFFF00000000}"/>
  </bookViews>
  <sheets>
    <sheet name="TRIP DETAILs" sheetId="1" r:id="rId1"/>
    <sheet name="MAY-2025" sheetId="9" r:id="rId2"/>
    <sheet name="SHIFTING DATA" sheetId="11" r:id="rId3"/>
  </sheets>
  <definedNames>
    <definedName name="_xlnm._FilterDatabase" localSheetId="1" hidden="1">'MAY-2025'!$A$1:$DI$39</definedName>
    <definedName name="_xlnm.Print_Area" localSheetId="1">'MAY-2025'!$A$1:$BZ$34</definedName>
    <definedName name="_xlnm.Print_Area" localSheetId="2">'SHIFTING DATA'!$A$1:$K$44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32" i="9" l="1"/>
  <c r="BB32" i="9"/>
  <c r="AH32" i="9"/>
  <c r="CH31" i="9" l="1"/>
  <c r="CI31" i="9"/>
  <c r="AH31" i="9"/>
  <c r="CA34" i="9"/>
  <c r="CB34" i="9"/>
  <c r="CC34" i="9"/>
  <c r="CD34" i="9"/>
  <c r="CE34" i="9"/>
  <c r="CF34" i="9"/>
  <c r="CH30" i="9" l="1"/>
  <c r="CI30" i="9"/>
  <c r="AH30" i="9"/>
  <c r="W30" i="9"/>
  <c r="CH29" i="9"/>
  <c r="CI29" i="9"/>
  <c r="AH29" i="9"/>
  <c r="W29" i="9"/>
  <c r="CH28" i="9"/>
  <c r="CH27" i="9" l="1"/>
  <c r="CI27" i="9"/>
  <c r="DI4" i="9"/>
  <c r="DI5" i="9"/>
  <c r="DI6" i="9"/>
  <c r="DI7" i="9"/>
  <c r="DI8" i="9"/>
  <c r="DI9" i="9"/>
  <c r="DI10" i="9"/>
  <c r="DI11" i="9"/>
  <c r="DI12" i="9"/>
  <c r="DI13" i="9"/>
  <c r="DI14" i="9"/>
  <c r="DI15" i="9"/>
  <c r="DI16" i="9"/>
  <c r="DI17" i="9"/>
  <c r="DI18" i="9"/>
  <c r="DI19" i="9"/>
  <c r="DI20" i="9"/>
  <c r="DI21" i="9"/>
  <c r="DI22" i="9"/>
  <c r="DI23" i="9"/>
  <c r="DI24" i="9"/>
  <c r="DI25" i="9"/>
  <c r="DI26" i="9"/>
  <c r="DI27" i="9"/>
  <c r="DI33" i="9"/>
  <c r="DI3" i="9"/>
  <c r="DF4" i="9"/>
  <c r="DF5" i="9"/>
  <c r="DF6" i="9"/>
  <c r="DF7" i="9"/>
  <c r="DF8" i="9"/>
  <c r="DF9" i="9"/>
  <c r="DF10" i="9"/>
  <c r="DF11" i="9"/>
  <c r="DF12" i="9"/>
  <c r="DF13" i="9"/>
  <c r="DF14" i="9"/>
  <c r="DF15" i="9"/>
  <c r="DF16" i="9"/>
  <c r="DF17" i="9"/>
  <c r="DF18" i="9"/>
  <c r="DF19" i="9"/>
  <c r="DF20" i="9"/>
  <c r="DF21" i="9"/>
  <c r="DF22" i="9"/>
  <c r="DF23" i="9"/>
  <c r="DF24" i="9"/>
  <c r="DF25" i="9"/>
  <c r="DF26" i="9"/>
  <c r="DF27" i="9"/>
  <c r="DF28" i="9"/>
  <c r="DF29" i="9"/>
  <c r="DF32" i="9"/>
  <c r="DF33" i="9"/>
  <c r="DF3" i="9"/>
  <c r="CG4" i="9"/>
  <c r="CG5" i="9"/>
  <c r="CG6" i="9"/>
  <c r="CG7" i="9"/>
  <c r="CG8" i="9"/>
  <c r="CG9" i="9"/>
  <c r="CG10" i="9"/>
  <c r="CG11" i="9"/>
  <c r="CG12" i="9"/>
  <c r="CG13" i="9"/>
  <c r="CG14" i="9"/>
  <c r="CG15" i="9"/>
  <c r="CG16" i="9"/>
  <c r="CG17" i="9"/>
  <c r="CG18" i="9"/>
  <c r="CG19" i="9"/>
  <c r="CG20" i="9"/>
  <c r="CG21" i="9"/>
  <c r="CG22" i="9"/>
  <c r="CG23" i="9"/>
  <c r="CG24" i="9"/>
  <c r="CG25" i="9"/>
  <c r="CG26" i="9"/>
  <c r="CG27" i="9"/>
  <c r="CG28" i="9"/>
  <c r="CG29" i="9"/>
  <c r="CG30" i="9"/>
  <c r="DF30" i="9" s="1"/>
  <c r="CG31" i="9"/>
  <c r="CG34" i="9" s="1"/>
  <c r="CG33" i="9"/>
  <c r="CG3" i="9"/>
  <c r="CQ34" i="9"/>
  <c r="AH27" i="9"/>
  <c r="CH25" i="9"/>
  <c r="CI25" i="9"/>
  <c r="AH25" i="9"/>
  <c r="CH24" i="9"/>
  <c r="CO24" i="9"/>
  <c r="AH24" i="9"/>
  <c r="CH23" i="9"/>
  <c r="CI23" i="9"/>
  <c r="AH21" i="9"/>
  <c r="AH22" i="9"/>
  <c r="AH23" i="9"/>
  <c r="CI22" i="9"/>
  <c r="P42" i="9"/>
  <c r="P40" i="9"/>
  <c r="CH21" i="9"/>
  <c r="CI21" i="9"/>
  <c r="AH19" i="9"/>
  <c r="AH20" i="9"/>
  <c r="DF31" i="9" l="1"/>
  <c r="CH20" i="9"/>
  <c r="CI20" i="9"/>
  <c r="CH18" i="9"/>
  <c r="CI18" i="9"/>
  <c r="AH18" i="9"/>
  <c r="CO17" i="9"/>
  <c r="CI17" i="9"/>
  <c r="CH17" i="9"/>
  <c r="CL17" i="9"/>
  <c r="AH17" i="9"/>
  <c r="CH16" i="9" l="1"/>
  <c r="CI16" i="9"/>
  <c r="AH16" i="9"/>
  <c r="CH15" i="9" l="1"/>
  <c r="CI15" i="9"/>
  <c r="BU34" i="9" l="1"/>
  <c r="BV34" i="9"/>
  <c r="BW34" i="9"/>
  <c r="BX34" i="9"/>
  <c r="BY34" i="9"/>
  <c r="CH14" i="9" l="1"/>
  <c r="AH14" i="9"/>
  <c r="CH13" i="9"/>
  <c r="CI13" i="9"/>
  <c r="CL13" i="9"/>
  <c r="CM13" i="9"/>
  <c r="AH13" i="9"/>
  <c r="CH11" i="9"/>
  <c r="AH11" i="9"/>
  <c r="CH10" i="9"/>
  <c r="CI10" i="9"/>
  <c r="AH10" i="9"/>
  <c r="CH9" i="9"/>
  <c r="AH9" i="9"/>
  <c r="CH8" i="9" l="1"/>
  <c r="CP8" i="9"/>
  <c r="AH8" i="9" l="1"/>
  <c r="CH6" i="9" l="1"/>
  <c r="CI6" i="9"/>
  <c r="AH6" i="9"/>
  <c r="CI4" i="9"/>
  <c r="CH4" i="9"/>
  <c r="CU4" i="9" l="1"/>
  <c r="CU5" i="9"/>
  <c r="CU6" i="9"/>
  <c r="CU7" i="9"/>
  <c r="CU8" i="9"/>
  <c r="CU9" i="9"/>
  <c r="CU10" i="9"/>
  <c r="CU11" i="9"/>
  <c r="CU12" i="9"/>
  <c r="CU13" i="9"/>
  <c r="CU14" i="9"/>
  <c r="CU15" i="9"/>
  <c r="CU16" i="9"/>
  <c r="CU17" i="9"/>
  <c r="CU18" i="9"/>
  <c r="CU19" i="9"/>
  <c r="CU20" i="9"/>
  <c r="CU21" i="9"/>
  <c r="CU22" i="9"/>
  <c r="CU23" i="9"/>
  <c r="CU24" i="9"/>
  <c r="CU25" i="9"/>
  <c r="CU26" i="9"/>
  <c r="CU27" i="9"/>
  <c r="CU28" i="9"/>
  <c r="CU29" i="9"/>
  <c r="CU30" i="9"/>
  <c r="CU31" i="9"/>
  <c r="CU32" i="9"/>
  <c r="CU33" i="9"/>
  <c r="CU3" i="9"/>
  <c r="DG3" i="9" l="1"/>
  <c r="CP4" i="9"/>
  <c r="CP5" i="9"/>
  <c r="CP6" i="9"/>
  <c r="CP7" i="9"/>
  <c r="CP9" i="9"/>
  <c r="CP10" i="9"/>
  <c r="CP11" i="9"/>
  <c r="CP12" i="9"/>
  <c r="CP13" i="9"/>
  <c r="CP14" i="9"/>
  <c r="CP15" i="9"/>
  <c r="CP16" i="9"/>
  <c r="CP17" i="9"/>
  <c r="CP18" i="9"/>
  <c r="CP19" i="9"/>
  <c r="CP20" i="9"/>
  <c r="CP21" i="9"/>
  <c r="CP22" i="9"/>
  <c r="CP23" i="9"/>
  <c r="CP24" i="9"/>
  <c r="CP25" i="9"/>
  <c r="CP26" i="9"/>
  <c r="CP27" i="9"/>
  <c r="CP28" i="9"/>
  <c r="CP29" i="9"/>
  <c r="CP30" i="9"/>
  <c r="CP31" i="9"/>
  <c r="CP32" i="9"/>
  <c r="CP33" i="9"/>
  <c r="CP3" i="9"/>
  <c r="CJ4" i="9"/>
  <c r="CJ5" i="9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J30" i="9"/>
  <c r="CJ31" i="9"/>
  <c r="CJ32" i="9"/>
  <c r="CJ33" i="9"/>
  <c r="CJ3" i="9"/>
  <c r="DC3" i="9"/>
  <c r="DG4" i="9"/>
  <c r="DG5" i="9"/>
  <c r="DG6" i="9"/>
  <c r="DG7" i="9"/>
  <c r="DG8" i="9"/>
  <c r="DG9" i="9"/>
  <c r="DG10" i="9"/>
  <c r="DG11" i="9"/>
  <c r="DG12" i="9"/>
  <c r="DG13" i="9"/>
  <c r="DG14" i="9"/>
  <c r="BZ4" i="9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6" i="9"/>
  <c r="BZ27" i="9"/>
  <c r="BZ28" i="9"/>
  <c r="BZ29" i="9"/>
  <c r="BZ30" i="9"/>
  <c r="BZ31" i="9"/>
  <c r="BZ32" i="9"/>
  <c r="BZ33" i="9"/>
  <c r="BZ3" i="9"/>
  <c r="DE3" i="9" s="1"/>
  <c r="BR4" i="9"/>
  <c r="BS4" i="9" s="1"/>
  <c r="BR5" i="9"/>
  <c r="BS5" i="9" s="1"/>
  <c r="BR6" i="9"/>
  <c r="BS6" i="9" s="1"/>
  <c r="BR7" i="9"/>
  <c r="BS7" i="9" s="1"/>
  <c r="BR8" i="9"/>
  <c r="BS8" i="9" s="1"/>
  <c r="BR9" i="9"/>
  <c r="BS9" i="9" s="1"/>
  <c r="BR10" i="9"/>
  <c r="BS10" i="9" s="1"/>
  <c r="BR11" i="9"/>
  <c r="BS11" i="9" s="1"/>
  <c r="BR12" i="9"/>
  <c r="BS12" i="9" s="1"/>
  <c r="BR13" i="9"/>
  <c r="BS13" i="9" s="1"/>
  <c r="BR14" i="9"/>
  <c r="BS14" i="9" s="1"/>
  <c r="BR15" i="9"/>
  <c r="BS15" i="9" s="1"/>
  <c r="BR16" i="9"/>
  <c r="BS16" i="9" s="1"/>
  <c r="BR17" i="9"/>
  <c r="BS17" i="9" s="1"/>
  <c r="BR18" i="9"/>
  <c r="BS18" i="9" s="1"/>
  <c r="BR19" i="9"/>
  <c r="BS19" i="9"/>
  <c r="BR20" i="9"/>
  <c r="BS20" i="9" s="1"/>
  <c r="BR21" i="9"/>
  <c r="BS21" i="9" s="1"/>
  <c r="BR22" i="9"/>
  <c r="BS22" i="9" s="1"/>
  <c r="BR23" i="9"/>
  <c r="BS23" i="9" s="1"/>
  <c r="BR24" i="9"/>
  <c r="BS24" i="9" s="1"/>
  <c r="BR25" i="9"/>
  <c r="BS25" i="9" s="1"/>
  <c r="BR26" i="9"/>
  <c r="BS26" i="9" s="1"/>
  <c r="BR27" i="9"/>
  <c r="BS27" i="9" s="1"/>
  <c r="BR28" i="9"/>
  <c r="BS28" i="9" s="1"/>
  <c r="BR29" i="9"/>
  <c r="BS29" i="9" s="1"/>
  <c r="BR30" i="9"/>
  <c r="BS30" i="9" s="1"/>
  <c r="BR31" i="9"/>
  <c r="BS31" i="9" s="1"/>
  <c r="BR32" i="9"/>
  <c r="BS32" i="9" s="1"/>
  <c r="BR33" i="9"/>
  <c r="BS33" i="9" s="1"/>
  <c r="BR3" i="9"/>
  <c r="BS3" i="9" s="1"/>
  <c r="BQ3" i="9"/>
  <c r="BL3" i="9"/>
  <c r="DD3" i="9" s="1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BB30" i="9"/>
  <c r="BB31" i="9"/>
  <c r="BB33" i="9"/>
  <c r="BB3" i="9"/>
  <c r="AP4" i="9"/>
  <c r="AP5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" i="9"/>
  <c r="CI40" i="9"/>
  <c r="CI41" i="9" s="1"/>
  <c r="W33" i="9"/>
  <c r="CR13" i="9" l="1"/>
  <c r="DH3" i="9"/>
  <c r="BR34" i="9"/>
  <c r="BS34" i="9"/>
  <c r="DE28" i="9"/>
  <c r="CN38" i="9"/>
  <c r="DE27" i="9"/>
  <c r="DE29" i="9"/>
  <c r="DE30" i="9"/>
  <c r="DE31" i="9"/>
  <c r="DE32" i="9"/>
  <c r="DE33" i="9"/>
  <c r="DE26" i="9" l="1"/>
  <c r="DE24" i="9"/>
  <c r="DE25" i="9"/>
  <c r="BQ4" i="9" l="1"/>
  <c r="BQ5" i="9"/>
  <c r="BQ6" i="9"/>
  <c r="BQ7" i="9"/>
  <c r="BQ8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Q23" i="9"/>
  <c r="BQ24" i="9"/>
  <c r="BQ25" i="9"/>
  <c r="BQ26" i="9"/>
  <c r="BQ27" i="9"/>
  <c r="BQ28" i="9"/>
  <c r="BQ29" i="9"/>
  <c r="BQ30" i="9"/>
  <c r="BQ31" i="9"/>
  <c r="BQ32" i="9"/>
  <c r="BQ33" i="9"/>
  <c r="DE23" i="9" l="1"/>
  <c r="BI34" i="9"/>
  <c r="BJ34" i="9"/>
  <c r="BK34" i="9"/>
  <c r="BL4" i="9"/>
  <c r="BL5" i="9"/>
  <c r="BL6" i="9"/>
  <c r="BL7" i="9"/>
  <c r="BL8" i="9"/>
  <c r="BL9" i="9"/>
  <c r="BL10" i="9"/>
  <c r="BL11" i="9"/>
  <c r="BL12" i="9"/>
  <c r="BL13" i="9"/>
  <c r="BL14" i="9"/>
  <c r="BL15" i="9"/>
  <c r="BL16" i="9"/>
  <c r="BL17" i="9"/>
  <c r="BL18" i="9"/>
  <c r="BL19" i="9"/>
  <c r="BL20" i="9"/>
  <c r="BL21" i="9"/>
  <c r="BL22" i="9"/>
  <c r="BL23" i="9"/>
  <c r="BL24" i="9"/>
  <c r="BL25" i="9"/>
  <c r="BL26" i="9"/>
  <c r="BL27" i="9"/>
  <c r="BL28" i="9"/>
  <c r="BL29" i="9"/>
  <c r="BL30" i="9"/>
  <c r="BL31" i="9"/>
  <c r="BL32" i="9"/>
  <c r="BL33" i="9"/>
  <c r="DD18" i="9" l="1"/>
  <c r="DD10" i="9"/>
  <c r="DD33" i="9"/>
  <c r="DD25" i="9"/>
  <c r="DD17" i="9"/>
  <c r="DD9" i="9"/>
  <c r="DD32" i="9"/>
  <c r="DD24" i="9"/>
  <c r="DD16" i="9"/>
  <c r="DD8" i="9"/>
  <c r="DD31" i="9"/>
  <c r="DD23" i="9"/>
  <c r="DD15" i="9"/>
  <c r="DD7" i="9"/>
  <c r="DD30" i="9"/>
  <c r="DD22" i="9"/>
  <c r="DD14" i="9"/>
  <c r="DD6" i="9"/>
  <c r="DD29" i="9"/>
  <c r="DD21" i="9"/>
  <c r="DD13" i="9"/>
  <c r="DD5" i="9"/>
  <c r="DD20" i="9"/>
  <c r="DD12" i="9"/>
  <c r="DD4" i="9"/>
  <c r="DD19" i="9"/>
  <c r="DD11" i="9"/>
  <c r="DD28" i="9"/>
  <c r="DD27" i="9"/>
  <c r="DD26" i="9"/>
  <c r="BL34" i="9"/>
  <c r="DE22" i="9"/>
  <c r="DE4" i="9"/>
  <c r="DE5" i="9"/>
  <c r="DE6" i="9"/>
  <c r="DE7" i="9"/>
  <c r="DE8" i="9"/>
  <c r="DE9" i="9"/>
  <c r="DE10" i="9"/>
  <c r="DE11" i="9"/>
  <c r="DE12" i="9"/>
  <c r="DE13" i="9"/>
  <c r="DE14" i="9"/>
  <c r="DE15" i="9"/>
  <c r="DE16" i="9"/>
  <c r="DE17" i="9"/>
  <c r="DE18" i="9"/>
  <c r="DE20" i="9"/>
  <c r="DE21" i="9"/>
  <c r="DE19" i="9"/>
  <c r="V34" i="9" l="1"/>
  <c r="W20" i="9" l="1"/>
  <c r="W19" i="9" l="1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3" i="9"/>
  <c r="DG19" i="9"/>
  <c r="DG20" i="9"/>
  <c r="DG21" i="9"/>
  <c r="DG22" i="9"/>
  <c r="DG23" i="9"/>
  <c r="DG24" i="9"/>
  <c r="DG25" i="9"/>
  <c r="DG26" i="9"/>
  <c r="DG27" i="9"/>
  <c r="DG28" i="9"/>
  <c r="DG29" i="9"/>
  <c r="DG30" i="9"/>
  <c r="DG31" i="9"/>
  <c r="DG32" i="9"/>
  <c r="DG33" i="9"/>
  <c r="DG16" i="9"/>
  <c r="DG17" i="9"/>
  <c r="DG18" i="9"/>
  <c r="DG15" i="9"/>
  <c r="S34" i="9"/>
  <c r="T34" i="9"/>
  <c r="U34" i="9"/>
  <c r="T35" i="9" l="1"/>
  <c r="F39" i="9"/>
  <c r="G39" i="9" s="1"/>
  <c r="BQ9" i="9"/>
  <c r="BQ34" i="9" s="1"/>
  <c r="CL18" i="9" l="1"/>
  <c r="CL19" i="9"/>
  <c r="L5" i="11" l="1"/>
  <c r="M5" i="11"/>
  <c r="N5" i="11"/>
  <c r="O5" i="11"/>
  <c r="L6" i="11"/>
  <c r="M6" i="11"/>
  <c r="N6" i="11"/>
  <c r="O6" i="11"/>
  <c r="L7" i="11"/>
  <c r="M7" i="11"/>
  <c r="N7" i="11"/>
  <c r="O7" i="11"/>
  <c r="L8" i="11"/>
  <c r="M8" i="11"/>
  <c r="N8" i="11"/>
  <c r="O8" i="11"/>
  <c r="L9" i="11"/>
  <c r="M9" i="11"/>
  <c r="N9" i="11"/>
  <c r="O9" i="11"/>
  <c r="L10" i="11"/>
  <c r="M10" i="11"/>
  <c r="N10" i="11"/>
  <c r="O10" i="11"/>
  <c r="L11" i="11"/>
  <c r="M11" i="11"/>
  <c r="N11" i="11"/>
  <c r="O11" i="11"/>
  <c r="L12" i="11"/>
  <c r="M12" i="11"/>
  <c r="N12" i="11"/>
  <c r="O12" i="11"/>
  <c r="L13" i="11"/>
  <c r="M13" i="11"/>
  <c r="N13" i="11"/>
  <c r="O13" i="11"/>
  <c r="L14" i="11"/>
  <c r="M14" i="11"/>
  <c r="N14" i="11"/>
  <c r="O14" i="11"/>
  <c r="L15" i="11"/>
  <c r="M15" i="11"/>
  <c r="N15" i="11"/>
  <c r="O15" i="11"/>
  <c r="L16" i="11"/>
  <c r="M16" i="11"/>
  <c r="N16" i="11"/>
  <c r="O16" i="11"/>
  <c r="L17" i="11"/>
  <c r="M17" i="11"/>
  <c r="N17" i="11"/>
  <c r="O17" i="11"/>
  <c r="L18" i="11"/>
  <c r="M18" i="11"/>
  <c r="N18" i="11"/>
  <c r="O18" i="11"/>
  <c r="L19" i="11"/>
  <c r="M19" i="11"/>
  <c r="N19" i="11"/>
  <c r="O19" i="11"/>
  <c r="L20" i="11"/>
  <c r="M20" i="11"/>
  <c r="N20" i="11"/>
  <c r="O20" i="11"/>
  <c r="L21" i="11"/>
  <c r="M21" i="11"/>
  <c r="N21" i="11"/>
  <c r="O21" i="11"/>
  <c r="L22" i="11"/>
  <c r="M22" i="11"/>
  <c r="N22" i="11"/>
  <c r="O22" i="11"/>
  <c r="L23" i="11"/>
  <c r="M23" i="11"/>
  <c r="N23" i="11"/>
  <c r="O23" i="11"/>
  <c r="L24" i="11"/>
  <c r="M24" i="11"/>
  <c r="N24" i="11"/>
  <c r="O24" i="11"/>
  <c r="L25" i="11"/>
  <c r="M25" i="11"/>
  <c r="N25" i="11"/>
  <c r="O25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L29" i="11"/>
  <c r="M29" i="11"/>
  <c r="N29" i="11"/>
  <c r="O29" i="11"/>
  <c r="L30" i="11"/>
  <c r="M30" i="11"/>
  <c r="N30" i="11"/>
  <c r="O30" i="11"/>
  <c r="L31" i="11"/>
  <c r="M31" i="11"/>
  <c r="N31" i="11"/>
  <c r="O31" i="11"/>
  <c r="L32" i="11"/>
  <c r="M32" i="11"/>
  <c r="N32" i="11"/>
  <c r="O32" i="11"/>
  <c r="L33" i="11"/>
  <c r="M33" i="11"/>
  <c r="N33" i="11"/>
  <c r="O33" i="11"/>
  <c r="L34" i="11"/>
  <c r="M34" i="11"/>
  <c r="N34" i="11"/>
  <c r="O34" i="11"/>
  <c r="O4" i="11"/>
  <c r="N4" i="11"/>
  <c r="M4" i="11"/>
  <c r="L4" i="11"/>
  <c r="W18" i="9" l="1"/>
  <c r="W21" i="9"/>
  <c r="W22" i="9"/>
  <c r="W23" i="9"/>
  <c r="W24" i="9"/>
  <c r="W25" i="9"/>
  <c r="W26" i="9"/>
  <c r="W27" i="9"/>
  <c r="W28" i="9"/>
  <c r="W31" i="9"/>
  <c r="W32" i="9"/>
  <c r="DH31" i="9" l="1"/>
  <c r="CL30" i="9" l="1"/>
  <c r="AZ34" i="9" l="1"/>
  <c r="CL4" i="9" l="1"/>
  <c r="CM4" i="9"/>
  <c r="CL5" i="9"/>
  <c r="CM5" i="9"/>
  <c r="CL6" i="9"/>
  <c r="CM6" i="9"/>
  <c r="CL7" i="9"/>
  <c r="CM7" i="9"/>
  <c r="CL8" i="9"/>
  <c r="CM8" i="9"/>
  <c r="CL9" i="9"/>
  <c r="CM9" i="9"/>
  <c r="CL10" i="9"/>
  <c r="CM10" i="9"/>
  <c r="CL11" i="9"/>
  <c r="CM11" i="9"/>
  <c r="CL12" i="9"/>
  <c r="CM12" i="9"/>
  <c r="CL14" i="9"/>
  <c r="CM14" i="9"/>
  <c r="CL15" i="9"/>
  <c r="CM15" i="9"/>
  <c r="CL16" i="9"/>
  <c r="CM16" i="9"/>
  <c r="CM17" i="9"/>
  <c r="CR17" i="9" s="1"/>
  <c r="CM18" i="9"/>
  <c r="CR18" i="9" s="1"/>
  <c r="CM19" i="9"/>
  <c r="CR19" i="9" s="1"/>
  <c r="CL20" i="9"/>
  <c r="CM20" i="9"/>
  <c r="CL21" i="9"/>
  <c r="CM21" i="9"/>
  <c r="CL22" i="9"/>
  <c r="CM22" i="9"/>
  <c r="CL23" i="9"/>
  <c r="CM23" i="9"/>
  <c r="CL24" i="9"/>
  <c r="CM24" i="9"/>
  <c r="CL25" i="9"/>
  <c r="CM25" i="9"/>
  <c r="CL26" i="9"/>
  <c r="CM26" i="9"/>
  <c r="CL27" i="9"/>
  <c r="CM27" i="9"/>
  <c r="CL28" i="9"/>
  <c r="CM28" i="9"/>
  <c r="CL29" i="9"/>
  <c r="CM29" i="9"/>
  <c r="CM30" i="9"/>
  <c r="CR30" i="9" s="1"/>
  <c r="CL31" i="9"/>
  <c r="CM31" i="9"/>
  <c r="CL32" i="9"/>
  <c r="CM32" i="9"/>
  <c r="CL33" i="9"/>
  <c r="CM33" i="9"/>
  <c r="P4" i="11"/>
  <c r="CR27" i="9" l="1"/>
  <c r="CR23" i="9"/>
  <c r="CR12" i="9"/>
  <c r="CR8" i="9"/>
  <c r="CR26" i="9"/>
  <c r="CR22" i="9"/>
  <c r="CR29" i="9"/>
  <c r="CR15" i="9"/>
  <c r="CR24" i="9"/>
  <c r="CR32" i="9"/>
  <c r="CR14" i="9"/>
  <c r="CR9" i="9"/>
  <c r="CR5" i="9"/>
  <c r="CR11" i="9"/>
  <c r="CR21" i="9"/>
  <c r="CR10" i="9"/>
  <c r="CR28" i="9"/>
  <c r="CR16" i="9"/>
  <c r="CR7" i="9"/>
  <c r="CR25" i="9"/>
  <c r="CR33" i="9"/>
  <c r="CR6" i="9"/>
  <c r="CR20" i="9"/>
  <c r="CR31" i="9"/>
  <c r="CR4" i="9"/>
  <c r="CM3" i="9"/>
  <c r="CL3" i="9"/>
  <c r="B36" i="9"/>
  <c r="B37" i="9" s="1"/>
  <c r="C37" i="9"/>
  <c r="D37" i="9"/>
  <c r="E37" i="9"/>
  <c r="F37" i="9"/>
  <c r="CR3" i="9" l="1"/>
  <c r="AI34" i="9"/>
  <c r="AT34" i="9" l="1"/>
  <c r="AR34" i="9"/>
  <c r="AV34" i="9"/>
  <c r="AW34" i="9"/>
  <c r="AX34" i="9"/>
  <c r="AY34" i="9"/>
  <c r="AU34" i="9"/>
  <c r="BA34" i="9"/>
  <c r="X34" i="9" l="1"/>
  <c r="Y34" i="9"/>
  <c r="AA34" i="9"/>
  <c r="AB34" i="9"/>
  <c r="AC34" i="9"/>
  <c r="DH6" i="9" l="1"/>
  <c r="DC6" i="9" l="1"/>
  <c r="DC7" i="9"/>
  <c r="DC8" i="9"/>
  <c r="DC9" i="9"/>
  <c r="DC10" i="9"/>
  <c r="DC11" i="9"/>
  <c r="DC12" i="9"/>
  <c r="DC13" i="9"/>
  <c r="DC14" i="9"/>
  <c r="DC15" i="9"/>
  <c r="DC16" i="9"/>
  <c r="DC17" i="9"/>
  <c r="DC18" i="9"/>
  <c r="DC19" i="9"/>
  <c r="DC20" i="9"/>
  <c r="DC21" i="9"/>
  <c r="DC22" i="9"/>
  <c r="DC23" i="9"/>
  <c r="DC24" i="9"/>
  <c r="DC25" i="9"/>
  <c r="DC26" i="9"/>
  <c r="DC27" i="9"/>
  <c r="DC28" i="9"/>
  <c r="DC29" i="9"/>
  <c r="DC30" i="9"/>
  <c r="DC31" i="9"/>
  <c r="DC32" i="9"/>
  <c r="DC33" i="9"/>
  <c r="DC4" i="9"/>
  <c r="DC5" i="9"/>
  <c r="CK34" i="9" l="1"/>
  <c r="CN34" i="9"/>
  <c r="CO34" i="9"/>
  <c r="CP34" i="9"/>
  <c r="CS34" i="9"/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" i="9"/>
  <c r="CH34" i="9" l="1"/>
  <c r="CI34" i="9"/>
  <c r="CM34" i="9"/>
  <c r="CL34" i="9"/>
  <c r="Q7" i="11"/>
  <c r="Q8" i="11"/>
  <c r="Q10" i="11"/>
  <c r="Q4" i="11"/>
  <c r="P7" i="11"/>
  <c r="P34" i="11"/>
  <c r="P12" i="11"/>
  <c r="P14" i="11"/>
  <c r="P22" i="11"/>
  <c r="Q22" i="11"/>
  <c r="Q23" i="11"/>
  <c r="Q33" i="11"/>
  <c r="Q34" i="11"/>
  <c r="DH7" i="9"/>
  <c r="DH8" i="9"/>
  <c r="DH9" i="9"/>
  <c r="DH10" i="9"/>
  <c r="DH11" i="9"/>
  <c r="DH12" i="9"/>
  <c r="DH13" i="9"/>
  <c r="DH14" i="9"/>
  <c r="DH15" i="9"/>
  <c r="DH16" i="9"/>
  <c r="DH17" i="9"/>
  <c r="DH18" i="9"/>
  <c r="DH19" i="9"/>
  <c r="DH20" i="9"/>
  <c r="DH21" i="9"/>
  <c r="DH22" i="9"/>
  <c r="DH23" i="9"/>
  <c r="DH24" i="9"/>
  <c r="DH25" i="9"/>
  <c r="DH26" i="9"/>
  <c r="DH27" i="9"/>
  <c r="DH28" i="9"/>
  <c r="DH29" i="9"/>
  <c r="DH30" i="9"/>
  <c r="DH32" i="9"/>
  <c r="DH33" i="9"/>
  <c r="DB4" i="9"/>
  <c r="DB5" i="9"/>
  <c r="DB6" i="9"/>
  <c r="DB7" i="9"/>
  <c r="DB8" i="9"/>
  <c r="DB9" i="9"/>
  <c r="DB10" i="9"/>
  <c r="DB11" i="9"/>
  <c r="DB12" i="9"/>
  <c r="DB13" i="9"/>
  <c r="DB14" i="9"/>
  <c r="DB15" i="9"/>
  <c r="DB16" i="9"/>
  <c r="DB17" i="9"/>
  <c r="DB18" i="9"/>
  <c r="DB19" i="9"/>
  <c r="DB20" i="9"/>
  <c r="DB21" i="9"/>
  <c r="DB22" i="9"/>
  <c r="DB23" i="9"/>
  <c r="DB24" i="9"/>
  <c r="DB25" i="9"/>
  <c r="DB26" i="9"/>
  <c r="DB27" i="9"/>
  <c r="DB28" i="9"/>
  <c r="DB29" i="9"/>
  <c r="DB30" i="9"/>
  <c r="DB31" i="9"/>
  <c r="DB32" i="9"/>
  <c r="DB33" i="9"/>
  <c r="DA4" i="9"/>
  <c r="DA5" i="9"/>
  <c r="DA6" i="9"/>
  <c r="DA7" i="9"/>
  <c r="DA8" i="9"/>
  <c r="DA9" i="9"/>
  <c r="DA10" i="9"/>
  <c r="DA11" i="9"/>
  <c r="DA12" i="9"/>
  <c r="DA13" i="9"/>
  <c r="DA14" i="9"/>
  <c r="DA15" i="9"/>
  <c r="DA16" i="9"/>
  <c r="DA17" i="9"/>
  <c r="DA18" i="9"/>
  <c r="DA19" i="9"/>
  <c r="DA20" i="9"/>
  <c r="DA21" i="9"/>
  <c r="DA22" i="9"/>
  <c r="DA23" i="9"/>
  <c r="DA24" i="9"/>
  <c r="DA25" i="9"/>
  <c r="DA26" i="9"/>
  <c r="DA27" i="9"/>
  <c r="DA28" i="9"/>
  <c r="DA29" i="9"/>
  <c r="DA30" i="9"/>
  <c r="DA31" i="9"/>
  <c r="DA32" i="9"/>
  <c r="DA33" i="9"/>
  <c r="CW18" i="9"/>
  <c r="CW29" i="9"/>
  <c r="DI32" i="9" l="1"/>
  <c r="DI31" i="9"/>
  <c r="DI30" i="9"/>
  <c r="DI29" i="9"/>
  <c r="DI28" i="9"/>
  <c r="DJ18" i="9"/>
  <c r="P33" i="11"/>
  <c r="P32" i="11"/>
  <c r="Q32" i="11"/>
  <c r="Q31" i="11"/>
  <c r="P31" i="11"/>
  <c r="P30" i="11"/>
  <c r="Q30" i="11"/>
  <c r="Q29" i="11"/>
  <c r="P29" i="11"/>
  <c r="P28" i="11"/>
  <c r="Q28" i="11"/>
  <c r="Q27" i="11"/>
  <c r="P27" i="11"/>
  <c r="Q26" i="11"/>
  <c r="P26" i="11"/>
  <c r="Q25" i="11"/>
  <c r="P25" i="11"/>
  <c r="P23" i="11"/>
  <c r="Q24" i="11"/>
  <c r="P24" i="11"/>
  <c r="Q21" i="11"/>
  <c r="P21" i="11"/>
  <c r="Q20" i="11"/>
  <c r="P20" i="11"/>
  <c r="Q19" i="11"/>
  <c r="P19" i="11"/>
  <c r="P18" i="11"/>
  <c r="Q18" i="11"/>
  <c r="Q17" i="11"/>
  <c r="P17" i="11"/>
  <c r="P5" i="11"/>
  <c r="DB3" i="9"/>
  <c r="Q16" i="11"/>
  <c r="P16" i="11"/>
  <c r="Q15" i="11"/>
  <c r="P15" i="11"/>
  <c r="Q14" i="11"/>
  <c r="Q13" i="11"/>
  <c r="P13" i="11"/>
  <c r="Q12" i="11"/>
  <c r="Q11" i="11"/>
  <c r="P11" i="11"/>
  <c r="P10" i="11"/>
  <c r="P8" i="11"/>
  <c r="Q9" i="11"/>
  <c r="P9" i="11"/>
  <c r="DA3" i="9"/>
  <c r="Q5" i="11"/>
  <c r="Q6" i="11"/>
  <c r="P6" i="11"/>
  <c r="BM30" i="9"/>
  <c r="BN30" i="9"/>
  <c r="BO30" i="9"/>
  <c r="DJ3" i="9" l="1"/>
  <c r="Q35" i="11"/>
  <c r="BM27" i="9"/>
  <c r="DJ20" i="9"/>
  <c r="BP4" i="9" l="1"/>
  <c r="BP5" i="9"/>
  <c r="BP6" i="9"/>
  <c r="BP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BP30" i="9"/>
  <c r="BP31" i="9"/>
  <c r="BP32" i="9"/>
  <c r="BP33" i="9"/>
  <c r="BP3" i="9"/>
  <c r="BM4" i="9"/>
  <c r="BN4" i="9"/>
  <c r="BO4" i="9"/>
  <c r="BM5" i="9"/>
  <c r="BN5" i="9"/>
  <c r="BO5" i="9"/>
  <c r="BM6" i="9"/>
  <c r="BN6" i="9"/>
  <c r="BO6" i="9"/>
  <c r="BM7" i="9"/>
  <c r="BN7" i="9"/>
  <c r="BO7" i="9"/>
  <c r="BM8" i="9"/>
  <c r="BN8" i="9"/>
  <c r="BO8" i="9"/>
  <c r="BM9" i="9"/>
  <c r="BN9" i="9"/>
  <c r="BO9" i="9"/>
  <c r="BM10" i="9"/>
  <c r="BN10" i="9"/>
  <c r="BO10" i="9"/>
  <c r="BM11" i="9"/>
  <c r="BN11" i="9"/>
  <c r="BO11" i="9"/>
  <c r="BM12" i="9"/>
  <c r="BN12" i="9"/>
  <c r="BO12" i="9"/>
  <c r="BM13" i="9"/>
  <c r="BN13" i="9"/>
  <c r="BO13" i="9"/>
  <c r="BM14" i="9"/>
  <c r="BN14" i="9"/>
  <c r="BO14" i="9"/>
  <c r="BM15" i="9"/>
  <c r="BN15" i="9"/>
  <c r="BO15" i="9"/>
  <c r="BM16" i="9"/>
  <c r="BN16" i="9"/>
  <c r="BO16" i="9"/>
  <c r="BM17" i="9"/>
  <c r="BN17" i="9"/>
  <c r="BO17" i="9"/>
  <c r="BM18" i="9"/>
  <c r="BN18" i="9"/>
  <c r="BO18" i="9"/>
  <c r="BM19" i="9"/>
  <c r="BN19" i="9"/>
  <c r="BO19" i="9"/>
  <c r="BM20" i="9"/>
  <c r="BN20" i="9"/>
  <c r="BO20" i="9"/>
  <c r="BM21" i="9"/>
  <c r="BN21" i="9"/>
  <c r="BO21" i="9"/>
  <c r="BM22" i="9"/>
  <c r="BN22" i="9"/>
  <c r="BO22" i="9"/>
  <c r="BM23" i="9"/>
  <c r="BN23" i="9"/>
  <c r="BO23" i="9"/>
  <c r="BM24" i="9"/>
  <c r="BN24" i="9"/>
  <c r="BO24" i="9"/>
  <c r="BM25" i="9"/>
  <c r="BN25" i="9"/>
  <c r="BO25" i="9"/>
  <c r="BM26" i="9"/>
  <c r="BN26" i="9"/>
  <c r="BO26" i="9"/>
  <c r="BN27" i="9"/>
  <c r="BO27" i="9"/>
  <c r="BM28" i="9"/>
  <c r="BN28" i="9"/>
  <c r="BO28" i="9"/>
  <c r="BM29" i="9"/>
  <c r="BN29" i="9"/>
  <c r="BO29" i="9"/>
  <c r="BM31" i="9"/>
  <c r="BN31" i="9"/>
  <c r="BO31" i="9"/>
  <c r="BM32" i="9"/>
  <c r="BN32" i="9"/>
  <c r="BO32" i="9"/>
  <c r="BM33" i="9"/>
  <c r="BN33" i="9"/>
  <c r="BO33" i="9"/>
  <c r="BO3" i="9"/>
  <c r="BN3" i="9"/>
  <c r="BM3" i="9"/>
  <c r="BO34" i="9" l="1"/>
  <c r="BN34" i="9"/>
  <c r="BP34" i="9"/>
  <c r="BM34" i="9"/>
  <c r="DK34" i="9"/>
  <c r="DN34" i="9"/>
  <c r="DJ19" i="9"/>
  <c r="DJ21" i="9"/>
  <c r="DJ22" i="9"/>
  <c r="DJ23" i="9"/>
  <c r="DJ24" i="9"/>
  <c r="DJ25" i="9"/>
  <c r="DJ26" i="9"/>
  <c r="DJ27" i="9"/>
  <c r="DJ28" i="9"/>
  <c r="DJ29" i="9"/>
  <c r="DJ30" i="9"/>
  <c r="DJ31" i="9"/>
  <c r="DJ32" i="9"/>
  <c r="DJ33" i="9"/>
  <c r="DJ6" i="9"/>
  <c r="DJ7" i="9"/>
  <c r="DJ8" i="9"/>
  <c r="DJ9" i="9"/>
  <c r="DJ10" i="9"/>
  <c r="DJ11" i="9"/>
  <c r="DJ12" i="9"/>
  <c r="DJ13" i="9"/>
  <c r="DJ14" i="9"/>
  <c r="DJ15" i="9"/>
  <c r="DJ16" i="9"/>
  <c r="DJ17" i="9" l="1"/>
  <c r="DM4" i="9"/>
  <c r="DM32" i="9"/>
  <c r="DM30" i="9"/>
  <c r="DM28" i="9"/>
  <c r="DM26" i="9"/>
  <c r="DM24" i="9"/>
  <c r="DM22" i="9"/>
  <c r="DM8" i="9"/>
  <c r="DM10" i="9"/>
  <c r="DM7" i="9"/>
  <c r="DM5" i="9"/>
  <c r="DM29" i="9"/>
  <c r="DM27" i="9"/>
  <c r="DM25" i="9"/>
  <c r="DM23" i="9"/>
  <c r="DM21" i="9"/>
  <c r="DM19" i="9"/>
  <c r="DM11" i="9"/>
  <c r="DM33" i="9"/>
  <c r="DM6" i="9"/>
  <c r="DM9" i="9"/>
  <c r="DM31" i="9"/>
  <c r="DM20" i="9"/>
  <c r="DM15" i="9"/>
  <c r="DM12" i="9"/>
  <c r="DM18" i="9"/>
  <c r="DM17" i="9"/>
  <c r="DM16" i="9"/>
  <c r="DM14" i="9"/>
  <c r="DM13" i="9"/>
  <c r="DL16" i="9"/>
  <c r="AS34" i="9"/>
  <c r="BZ34" i="9"/>
  <c r="AL34" i="9"/>
  <c r="AM34" i="9"/>
  <c r="AO34" i="9"/>
  <c r="AP34" i="9"/>
  <c r="AN34" i="9"/>
  <c r="DL17" i="9" l="1"/>
  <c r="DM3" i="9"/>
  <c r="DM34" i="9" s="1"/>
  <c r="DL9" i="9" l="1"/>
  <c r="DL18" i="9"/>
  <c r="DL31" i="9" l="1"/>
  <c r="DL27" i="9"/>
  <c r="DL19" i="9"/>
  <c r="DL13" i="9"/>
  <c r="DL23" i="9"/>
  <c r="DL26" i="9"/>
  <c r="DL15" i="9"/>
  <c r="DL21" i="9"/>
  <c r="DL6" i="9"/>
  <c r="DL10" i="9"/>
  <c r="DL7" i="9"/>
  <c r="DL29" i="9"/>
  <c r="DL32" i="9"/>
  <c r="DL8" i="9"/>
  <c r="DL30" i="9"/>
  <c r="DL11" i="9"/>
  <c r="DL25" i="9"/>
  <c r="DL28" i="9"/>
  <c r="DL24" i="9"/>
  <c r="DL20" i="9"/>
  <c r="DL22" i="9"/>
  <c r="DL14" i="9"/>
  <c r="DL12" i="9"/>
  <c r="C35" i="11" l="1"/>
  <c r="D35" i="11"/>
  <c r="E35" i="11"/>
  <c r="F35" i="11"/>
  <c r="G35" i="11"/>
  <c r="H35" i="11"/>
  <c r="I35" i="11"/>
  <c r="J35" i="11"/>
  <c r="K35" i="11"/>
  <c r="G36" i="11" l="1"/>
  <c r="D41" i="11"/>
  <c r="M35" i="11"/>
  <c r="O35" i="11"/>
  <c r="N35" i="11"/>
  <c r="F43" i="11"/>
  <c r="F42" i="11"/>
  <c r="M36" i="11" l="1"/>
  <c r="F44" i="11"/>
  <c r="CV3" i="9" l="1"/>
  <c r="BA37" i="9" l="1"/>
  <c r="BB34" i="9" l="1"/>
  <c r="AY41" i="9"/>
  <c r="BB37" i="9" l="1"/>
  <c r="CW26" i="9" l="1"/>
  <c r="G37" i="9" l="1"/>
  <c r="G24" i="9"/>
  <c r="BC34" i="9" l="1"/>
  <c r="BD34" i="9"/>
  <c r="BE34" i="9"/>
  <c r="BT34" i="9"/>
  <c r="BG34" i="9" l="1"/>
  <c r="BF34" i="9"/>
  <c r="J36" i="11"/>
  <c r="F36" i="11" l="1"/>
  <c r="C36" i="11"/>
  <c r="D39" i="11"/>
  <c r="K36" i="11"/>
  <c r="D40" i="11"/>
  <c r="Q36" i="11" l="1"/>
  <c r="CW10" i="9"/>
  <c r="CW8" i="9"/>
  <c r="CW11" i="9"/>
  <c r="CW12" i="9"/>
  <c r="CW13" i="9"/>
  <c r="CW14" i="9"/>
  <c r="CW15" i="9"/>
  <c r="CW16" i="9"/>
  <c r="CW17" i="9"/>
  <c r="CW19" i="9"/>
  <c r="CW20" i="9"/>
  <c r="CW21" i="9"/>
  <c r="CW22" i="9"/>
  <c r="CW23" i="9"/>
  <c r="CW24" i="9"/>
  <c r="CW25" i="9"/>
  <c r="CW27" i="9"/>
  <c r="CW28" i="9"/>
  <c r="CW30" i="9"/>
  <c r="CW31" i="9"/>
  <c r="CW32" i="9"/>
  <c r="CW33" i="9"/>
  <c r="CW9" i="9"/>
  <c r="CW7" i="9"/>
  <c r="CW6" i="9"/>
  <c r="DE34" i="9" l="1"/>
  <c r="DD34" i="9"/>
  <c r="CI35" i="9"/>
  <c r="C34" i="9" l="1"/>
  <c r="D34" i="9"/>
  <c r="E34" i="9"/>
  <c r="B34" i="9"/>
  <c r="D42" i="11" l="1"/>
  <c r="G33" i="9" l="1"/>
  <c r="H33" i="9"/>
  <c r="I33" i="9"/>
  <c r="J33" i="9"/>
  <c r="CS37" i="9"/>
  <c r="K33" i="9" l="1"/>
  <c r="L33" i="9" s="1"/>
  <c r="N34" i="9" l="1"/>
  <c r="O34" i="9"/>
  <c r="P34" i="9"/>
  <c r="Q34" i="9"/>
  <c r="R34" i="9"/>
  <c r="AG34" i="9"/>
  <c r="AK34" i="9"/>
  <c r="AZ35" i="9"/>
  <c r="CI38" i="9"/>
  <c r="CX34" i="9"/>
  <c r="CZ34" i="9"/>
  <c r="BA39" i="9" l="1"/>
  <c r="W34" i="9" l="1"/>
  <c r="B35" i="11" l="1"/>
  <c r="A5" i="11"/>
  <c r="A6" i="11" s="1"/>
  <c r="A7" i="11" s="1"/>
  <c r="B36" i="11" l="1"/>
  <c r="P36" i="11" s="1"/>
  <c r="L35" i="11"/>
  <c r="A8" i="11"/>
  <c r="A9" i="11" l="1"/>
  <c r="A10" i="11" l="1"/>
  <c r="A11" i="11" l="1"/>
  <c r="A12" i="11" l="1"/>
  <c r="A13" i="11" l="1"/>
  <c r="A14" i="11" l="1"/>
  <c r="A15" i="11" l="1"/>
  <c r="A16" i="11" l="1"/>
  <c r="A17" i="11" l="1"/>
  <c r="A18" i="11" l="1"/>
  <c r="A19" i="11" l="1"/>
  <c r="A20" i="11" l="1"/>
  <c r="A21" i="11" s="1"/>
  <c r="A22" i="11" l="1"/>
  <c r="A23" i="11" l="1"/>
  <c r="A24" i="11" l="1"/>
  <c r="A25" i="11" l="1"/>
  <c r="A26" i="11" l="1"/>
  <c r="A27" i="11" l="1"/>
  <c r="A28" i="11" l="1"/>
  <c r="A29" i="11" l="1"/>
  <c r="A30" i="11" l="1"/>
  <c r="DA34" i="9" l="1"/>
  <c r="DC34" i="9"/>
  <c r="DB34" i="9"/>
  <c r="A31" i="11"/>
  <c r="P35" i="11"/>
  <c r="A32" i="11" l="1"/>
  <c r="A33" i="11" l="1"/>
  <c r="A34" i="11" s="1"/>
  <c r="J17" i="9"/>
  <c r="I17" i="9"/>
  <c r="H17" i="9"/>
  <c r="G17" i="9"/>
  <c r="K17" i="9" l="1"/>
  <c r="L17" i="9" s="1"/>
  <c r="J18" i="9" l="1"/>
  <c r="I18" i="9"/>
  <c r="H18" i="9"/>
  <c r="G18" i="9"/>
  <c r="K18" i="9" l="1"/>
  <c r="L18" i="9" s="1"/>
  <c r="CS38" i="9" l="1"/>
  <c r="AH34" i="9"/>
  <c r="CU34" i="9" l="1"/>
  <c r="F34" i="9" l="1"/>
  <c r="F38" i="9" s="1"/>
  <c r="G38" i="9" s="1"/>
  <c r="G40" i="9" s="1"/>
  <c r="AK37" i="9"/>
  <c r="AL37" i="9"/>
  <c r="AM37" i="9"/>
  <c r="AZ38" i="9" l="1"/>
  <c r="G16" i="9" l="1"/>
  <c r="G19" i="9"/>
  <c r="G20" i="9"/>
  <c r="G21" i="9"/>
  <c r="G22" i="9"/>
  <c r="G23" i="9"/>
  <c r="G25" i="9"/>
  <c r="G26" i="9"/>
  <c r="G27" i="9"/>
  <c r="G28" i="9"/>
  <c r="G29" i="9"/>
  <c r="G30" i="9"/>
  <c r="G31" i="9"/>
  <c r="G32" i="9"/>
  <c r="G7" i="9"/>
  <c r="G8" i="9"/>
  <c r="G9" i="9"/>
  <c r="G10" i="9"/>
  <c r="G11" i="9"/>
  <c r="G12" i="9"/>
  <c r="G13" i="9"/>
  <c r="G14" i="9"/>
  <c r="G15" i="9"/>
  <c r="H31" i="9" l="1"/>
  <c r="I31" i="9"/>
  <c r="J31" i="9"/>
  <c r="H32" i="9"/>
  <c r="I32" i="9"/>
  <c r="J32" i="9"/>
  <c r="K31" i="9" l="1"/>
  <c r="L31" i="9" s="1"/>
  <c r="K32" i="9"/>
  <c r="L32" i="9" s="1"/>
  <c r="J30" i="9" l="1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G6" i="9"/>
  <c r="J5" i="9"/>
  <c r="I5" i="9"/>
  <c r="H5" i="9"/>
  <c r="G5" i="9"/>
  <c r="J4" i="9"/>
  <c r="I4" i="9"/>
  <c r="H4" i="9"/>
  <c r="G4" i="9"/>
  <c r="A4" i="9"/>
  <c r="A5" i="9" s="1"/>
  <c r="A6" i="9" s="1"/>
  <c r="A7" i="9" s="1"/>
  <c r="A8" i="9" s="1"/>
  <c r="A9" i="9" s="1"/>
  <c r="J3" i="9"/>
  <c r="I3" i="9"/>
  <c r="H3" i="9"/>
  <c r="G3" i="9"/>
  <c r="H34" i="9" l="1"/>
  <c r="G34" i="9"/>
  <c r="I34" i="9"/>
  <c r="J34" i="9"/>
  <c r="K9" i="9"/>
  <c r="L9" i="9" s="1"/>
  <c r="K21" i="9"/>
  <c r="L21" i="9" s="1"/>
  <c r="K29" i="9"/>
  <c r="K24" i="9"/>
  <c r="L24" i="9" s="1"/>
  <c r="K16" i="9"/>
  <c r="L16" i="9" s="1"/>
  <c r="K15" i="9"/>
  <c r="L15" i="9" s="1"/>
  <c r="A10" i="9"/>
  <c r="A11" i="9" s="1"/>
  <c r="K7" i="9"/>
  <c r="L7" i="9" s="1"/>
  <c r="K6" i="9"/>
  <c r="L6" i="9" s="1"/>
  <c r="K5" i="9"/>
  <c r="L5" i="9" s="1"/>
  <c r="K4" i="9"/>
  <c r="L4" i="9" s="1"/>
  <c r="K10" i="9"/>
  <c r="L10" i="9" s="1"/>
  <c r="K11" i="9"/>
  <c r="L11" i="9" s="1"/>
  <c r="K8" i="9"/>
  <c r="L8" i="9" s="1"/>
  <c r="K14" i="9"/>
  <c r="L14" i="9" s="1"/>
  <c r="K12" i="9"/>
  <c r="K13" i="9"/>
  <c r="L13" i="9" s="1"/>
  <c r="K19" i="9"/>
  <c r="L19" i="9" s="1"/>
  <c r="K30" i="9"/>
  <c r="L30" i="9" s="1"/>
  <c r="K28" i="9"/>
  <c r="L28" i="9" s="1"/>
  <c r="K27" i="9"/>
  <c r="L27" i="9" s="1"/>
  <c r="K26" i="9"/>
  <c r="L26" i="9" s="1"/>
  <c r="K25" i="9"/>
  <c r="L25" i="9" s="1"/>
  <c r="K23" i="9"/>
  <c r="L23" i="9" s="1"/>
  <c r="K22" i="9"/>
  <c r="L22" i="9" s="1"/>
  <c r="K20" i="9"/>
  <c r="L20" i="9" s="1"/>
  <c r="K3" i="9"/>
  <c r="L12" i="9" l="1"/>
  <c r="K34" i="9"/>
  <c r="K35" i="9" s="1"/>
  <c r="L3" i="9"/>
  <c r="L29" i="9"/>
  <c r="A12" i="9"/>
  <c r="A13" i="9" s="1"/>
  <c r="A14" i="9" s="1"/>
  <c r="A15" i="9" s="1"/>
  <c r="A16" i="9" s="1"/>
  <c r="AJ23" i="1"/>
  <c r="AJ22" i="1"/>
  <c r="AJ21" i="1"/>
  <c r="AK21" i="1" s="1"/>
  <c r="AI21" i="1"/>
  <c r="AJ20" i="1"/>
  <c r="AK20" i="1" s="1"/>
  <c r="AI20" i="1"/>
  <c r="AJ19" i="1"/>
  <c r="AK19" i="1" s="1"/>
  <c r="AI19" i="1"/>
  <c r="AJ18" i="1"/>
  <c r="AK18" i="1" s="1"/>
  <c r="AI18" i="1"/>
  <c r="AJ17" i="1"/>
  <c r="AK17" i="1" s="1"/>
  <c r="AI17" i="1"/>
  <c r="AJ16" i="1"/>
  <c r="AK16" i="1" s="1"/>
  <c r="AI16" i="1"/>
  <c r="AJ15" i="1"/>
  <c r="AK15" i="1" s="1"/>
  <c r="AI15" i="1"/>
  <c r="AJ14" i="1"/>
  <c r="AK14" i="1" s="1"/>
  <c r="AI14" i="1"/>
  <c r="AJ13" i="1"/>
  <c r="AK13" i="1" s="1"/>
  <c r="AI13" i="1"/>
  <c r="AJ12" i="1"/>
  <c r="AK12" i="1" s="1"/>
  <c r="AI12" i="1"/>
  <c r="AJ11" i="1"/>
  <c r="AK11" i="1" s="1"/>
  <c r="AI11" i="1"/>
  <c r="AJ10" i="1"/>
  <c r="AK10" i="1" s="1"/>
  <c r="AI10" i="1"/>
  <c r="AJ9" i="1"/>
  <c r="AK9" i="1" s="1"/>
  <c r="AI9" i="1"/>
  <c r="AJ8" i="1"/>
  <c r="AK8" i="1" s="1"/>
  <c r="AI8" i="1"/>
  <c r="AJ7" i="1"/>
  <c r="AK7" i="1" s="1"/>
  <c r="AI7" i="1"/>
  <c r="AJ6" i="1"/>
  <c r="AK6" i="1" s="1"/>
  <c r="AI6" i="1"/>
  <c r="AJ5" i="1"/>
  <c r="AK5" i="1" s="1"/>
  <c r="AI5" i="1"/>
  <c r="AJ4" i="1"/>
  <c r="AK4" i="1" s="1"/>
  <c r="AI4" i="1"/>
  <c r="AJ3" i="1"/>
  <c r="AK3" i="1" s="1"/>
  <c r="AI3" i="1"/>
  <c r="L34" i="9" l="1"/>
  <c r="A17" i="9"/>
  <c r="A18" i="9" s="1"/>
  <c r="A19" i="9" s="1"/>
  <c r="A20" i="9" s="1"/>
  <c r="A21" i="9" s="1"/>
  <c r="A22" i="9" s="1"/>
  <c r="A23" i="9" s="1"/>
  <c r="A24" i="9" s="1"/>
  <c r="A25" i="9" s="1"/>
  <c r="A26" i="9" l="1"/>
  <c r="A27" i="9" s="1"/>
  <c r="A28" i="9" s="1"/>
  <c r="A29" i="9" s="1"/>
  <c r="A30" i="9" s="1"/>
  <c r="A31" i="9" s="1"/>
  <c r="A32" i="9" s="1"/>
  <c r="A33" i="9" s="1"/>
  <c r="CW3" i="9" l="1"/>
  <c r="CY3" i="9" s="1"/>
  <c r="DL3" i="9" l="1"/>
  <c r="CT4" i="9"/>
  <c r="CV4" i="9" l="1"/>
  <c r="AQ34" i="9" l="1"/>
  <c r="DH5" i="9"/>
  <c r="DH4" i="9"/>
  <c r="DJ4" i="9" l="1"/>
  <c r="DL5" i="9"/>
  <c r="CW4" i="9"/>
  <c r="CY4" i="9" s="1"/>
  <c r="CT5" i="9" s="1"/>
  <c r="CV5" i="9" s="1"/>
  <c r="CW5" i="9"/>
  <c r="CJ34" i="9"/>
  <c r="AZ37" i="9" s="1"/>
  <c r="DH34" i="9"/>
  <c r="DJ5" i="9" l="1"/>
  <c r="DJ34" i="9" s="1"/>
  <c r="DI34" i="9"/>
  <c r="DL4" i="9"/>
  <c r="DL34" i="9" s="1"/>
  <c r="CW34" i="9"/>
  <c r="CR34" i="9"/>
  <c r="CI37" i="9" s="1"/>
  <c r="CI39" i="9" s="1"/>
  <c r="CY5" i="9"/>
  <c r="CT6" i="9" l="1"/>
  <c r="CV6" i="9" l="1"/>
  <c r="CY6" i="9" l="1"/>
  <c r="CT7" i="9" l="1"/>
  <c r="CV7" i="9" l="1"/>
  <c r="CY7" i="9" l="1"/>
  <c r="CT8" i="9" l="1"/>
  <c r="CV8" i="9" l="1"/>
  <c r="CY8" i="9" l="1"/>
  <c r="CT9" i="9" l="1"/>
  <c r="CV9" i="9" l="1"/>
  <c r="CY9" i="9" l="1"/>
  <c r="CT10" i="9" l="1"/>
  <c r="CV10" i="9" s="1"/>
  <c r="CY10" i="9" s="1"/>
  <c r="CT11" i="9" s="1"/>
  <c r="CV11" i="9" s="1"/>
  <c r="CY11" i="9" l="1"/>
  <c r="CT12" i="9" s="1"/>
  <c r="CV12" i="9" s="1"/>
  <c r="CY12" i="9" s="1"/>
  <c r="CT13" i="9" s="1"/>
  <c r="CV13" i="9" s="1"/>
  <c r="CY13" i="9" l="1"/>
  <c r="CT14" i="9" s="1"/>
  <c r="CV14" i="9" s="1"/>
  <c r="CY14" i="9" s="1"/>
  <c r="CT15" i="9" s="1"/>
  <c r="CV15" i="9" s="1"/>
  <c r="CY15" i="9" l="1"/>
  <c r="CT16" i="9" s="1"/>
  <c r="CV16" i="9" s="1"/>
  <c r="CY16" i="9" l="1"/>
  <c r="CT17" i="9" s="1"/>
  <c r="CV17" i="9" l="1"/>
  <c r="CY17" i="9" l="1"/>
  <c r="CT18" i="9" l="1"/>
  <c r="CV18" i="9" l="1"/>
  <c r="CY18" i="9" l="1"/>
  <c r="CT19" i="9" l="1"/>
  <c r="CV19" i="9" l="1"/>
  <c r="CY19" i="9" l="1"/>
  <c r="CT20" i="9" l="1"/>
  <c r="CV20" i="9" l="1"/>
  <c r="CY20" i="9" l="1"/>
  <c r="CT21" i="9" s="1"/>
  <c r="CV21" i="9" l="1"/>
  <c r="CY21" i="9" l="1"/>
  <c r="CT22" i="9" s="1"/>
  <c r="CV22" i="9" s="1"/>
  <c r="CY22" i="9" l="1"/>
  <c r="CT23" i="9" s="1"/>
  <c r="CV23" i="9" s="1"/>
  <c r="CY23" i="9" l="1"/>
  <c r="CT24" i="9" s="1"/>
  <c r="CV24" i="9" s="1"/>
  <c r="CY24" i="9" s="1"/>
  <c r="CT25" i="9" s="1"/>
  <c r="CV25" i="9" s="1"/>
  <c r="CY25" i="9" s="1"/>
  <c r="CT26" i="9" s="1"/>
  <c r="CV26" i="9" s="1"/>
  <c r="CY26" i="9" l="1"/>
  <c r="CT27" i="9" s="1"/>
  <c r="CV27" i="9" s="1"/>
  <c r="CY27" i="9" l="1"/>
  <c r="CT28" i="9" s="1"/>
  <c r="CV28" i="9" s="1"/>
  <c r="CY28" i="9" l="1"/>
  <c r="CT29" i="9" s="1"/>
  <c r="CV29" i="9" s="1"/>
  <c r="CY29" i="9" l="1"/>
  <c r="CT30" i="9" s="1"/>
  <c r="CV30" i="9" s="1"/>
  <c r="CY30" i="9" l="1"/>
  <c r="CT31" i="9" s="1"/>
  <c r="CV31" i="9" s="1"/>
  <c r="CY31" i="9" l="1"/>
  <c r="CT32" i="9" s="1"/>
  <c r="CV32" i="9" s="1"/>
  <c r="CY32" i="9" l="1"/>
  <c r="CT33" i="9" s="1"/>
  <c r="CV33" i="9" l="1"/>
  <c r="CT34" i="9"/>
  <c r="CY33" i="9" l="1"/>
  <c r="CV34" i="9"/>
  <c r="CY34" i="9" l="1"/>
</calcChain>
</file>

<file path=xl/sharedStrings.xml><?xml version="1.0" encoding="utf-8"?>
<sst xmlns="http://schemas.openxmlformats.org/spreadsheetml/2006/main" count="220" uniqueCount="162">
  <si>
    <t>FOR THE MONTH OF MAY-2021</t>
  </si>
  <si>
    <t>SL.NO</t>
  </si>
  <si>
    <t>DRIVER NAME</t>
  </si>
  <si>
    <t>VEHICLE NO</t>
  </si>
  <si>
    <t>TOTAL TRIP</t>
  </si>
  <si>
    <t>NO. OF 25 TRIPS PER DAY</t>
  </si>
  <si>
    <t>25 TRIP=50 RUPEES</t>
  </si>
  <si>
    <t>SANJAY SINGH BISHT</t>
  </si>
  <si>
    <t>MUKHTIAR SINGH</t>
  </si>
  <si>
    <t>PARMJEET SINGH</t>
  </si>
  <si>
    <t>LAL MOHAN SINGH</t>
  </si>
  <si>
    <t>ANIL RAM</t>
  </si>
  <si>
    <t>SUNIL KUMAR SINGH</t>
  </si>
  <si>
    <t>DES RAJ</t>
  </si>
  <si>
    <t>BIDYADHAR ARUK</t>
  </si>
  <si>
    <t>BALVINDAR SINGH</t>
  </si>
  <si>
    <t>PRAKASH MAHANTA</t>
  </si>
  <si>
    <t>JAYDHAN DAS</t>
  </si>
  <si>
    <t>CHAMBURU MUNDARI</t>
  </si>
  <si>
    <t>SUNDAR MOHAN BESHRA</t>
  </si>
  <si>
    <t>RALEYA MUNDA</t>
  </si>
  <si>
    <t>AMAN GOPE</t>
  </si>
  <si>
    <t>RAJENDRA PURTY</t>
  </si>
  <si>
    <t>SUKHLAL SIRKA</t>
  </si>
  <si>
    <t>BAGAR SINGH SINKU</t>
  </si>
  <si>
    <t>DATE</t>
  </si>
  <si>
    <t>OB</t>
  </si>
  <si>
    <t>TOTAL</t>
  </si>
  <si>
    <t>ROM MT</t>
  </si>
  <si>
    <t>OB MT</t>
  </si>
  <si>
    <t>SUBGRADE MT</t>
  </si>
  <si>
    <t>TOTAL MT</t>
  </si>
  <si>
    <t>DRILL-650</t>
  </si>
  <si>
    <t>CRUSHER</t>
  </si>
  <si>
    <t>Excavator Total Rhs</t>
  </si>
  <si>
    <t>RHS</t>
  </si>
  <si>
    <t>HOLE</t>
  </si>
  <si>
    <t>METER</t>
  </si>
  <si>
    <t>DG-RHS</t>
  </si>
  <si>
    <t>Mining Issue</t>
  </si>
  <si>
    <t>Crusher Issue</t>
  </si>
  <si>
    <t>Drill issue</t>
  </si>
  <si>
    <t>Other Issue</t>
  </si>
  <si>
    <t>REHANDLING</t>
  </si>
  <si>
    <t>shifting</t>
  </si>
  <si>
    <t>TOTAL ISSUE</t>
  </si>
  <si>
    <t>Received HSD</t>
  </si>
  <si>
    <t>Total Issue</t>
  </si>
  <si>
    <t>RECD</t>
  </si>
  <si>
    <t>ISSUE</t>
  </si>
  <si>
    <t>CB</t>
  </si>
  <si>
    <t>Received</t>
  </si>
  <si>
    <t xml:space="preserve">Grand Total </t>
  </si>
  <si>
    <t>CLO</t>
  </si>
  <si>
    <t>FINES</t>
  </si>
  <si>
    <t>MT</t>
  </si>
  <si>
    <t>Product Rehandling</t>
  </si>
  <si>
    <t xml:space="preserve">OMC </t>
  </si>
  <si>
    <t>LOAN</t>
  </si>
  <si>
    <t>CLO TRIPS</t>
  </si>
  <si>
    <t>HSD RECEIVED DATA</t>
  </si>
  <si>
    <t>FEEDER RHS</t>
  </si>
  <si>
    <t>SHIFTING CON</t>
  </si>
  <si>
    <t>phc</t>
  </si>
  <si>
    <t>pmc</t>
  </si>
  <si>
    <t>FINES                TRIPS</t>
  </si>
  <si>
    <t>HSD CONSUMPTION</t>
  </si>
  <si>
    <t>MINING DATA</t>
  </si>
  <si>
    <t>SHIFTING MT</t>
  </si>
  <si>
    <t>MINING</t>
  </si>
  <si>
    <t>HSD COSUMPTION DATA</t>
  </si>
  <si>
    <t>CLO MT</t>
  </si>
  <si>
    <t>FINES MT</t>
  </si>
  <si>
    <t>TOTAL TRIPS</t>
  </si>
  <si>
    <t>NO OF TIPPER USE</t>
  </si>
  <si>
    <t>CRUSHER METARIAL SHIFTING MT</t>
  </si>
  <si>
    <t>NORMAL MTRS</t>
  </si>
  <si>
    <t>HARD MTRS</t>
  </si>
  <si>
    <t>HSD ISSUE DETAILS</t>
  </si>
  <si>
    <t xml:space="preserve">DRILL </t>
  </si>
  <si>
    <t>TOTAL CONSUMPTION</t>
  </si>
  <si>
    <t>Cu.M</t>
  </si>
  <si>
    <t>MINING RHS TIPPER</t>
  </si>
  <si>
    <t>ROM TRIPS</t>
  </si>
  <si>
    <t>Blue Dust TRIPS</t>
  </si>
  <si>
    <t xml:space="preserve"> OB TRIPS</t>
  </si>
  <si>
    <t>SUBGRADE TRIPS</t>
  </si>
  <si>
    <t>Blue Dust MT</t>
  </si>
  <si>
    <t>Excavator USE</t>
  </si>
  <si>
    <t>Tipper RHS</t>
  </si>
  <si>
    <t>REHANDLING RHS</t>
  </si>
  <si>
    <t>SHIFTING RHS</t>
  </si>
  <si>
    <t>JAW RHS</t>
  </si>
  <si>
    <t>CONE RHS</t>
  </si>
  <si>
    <t>LOKA TRACK CRUSHER</t>
  </si>
  <si>
    <t>POWER SCREEN</t>
  </si>
  <si>
    <t>LOKA TRACK</t>
  </si>
  <si>
    <t xml:space="preserve">LOKA TRACK </t>
  </si>
  <si>
    <t>NW CRUSHER</t>
  </si>
  <si>
    <t>JAW</t>
  </si>
  <si>
    <t>CON</t>
  </si>
  <si>
    <t>LOKO</t>
  </si>
  <si>
    <t>SCREEN</t>
  </si>
  <si>
    <t>TRIPS</t>
  </si>
  <si>
    <t>TARGET</t>
  </si>
  <si>
    <t xml:space="preserve">EVERY DAY </t>
  </si>
  <si>
    <t>BHP SCREEN FINESH SHIFTING MT</t>
  </si>
  <si>
    <t>POWER SCREEN TO FINES SHIFTING MT</t>
  </si>
  <si>
    <t>LOKO TRACK</t>
  </si>
  <si>
    <t>G.TOTAL DATE WISE</t>
  </si>
  <si>
    <t>TOTAL CRUSHERB,LOKO TRACK &amp; SCREEN SHIFTING METERIAL DETAILS</t>
  </si>
  <si>
    <t>fines</t>
  </si>
  <si>
    <t>Metso Production &amp; Shifting MT</t>
  </si>
  <si>
    <t>TOTAL CLO MT</t>
  </si>
  <si>
    <t>TOTAL FINES MT</t>
  </si>
  <si>
    <t>G.TOTAL MT</t>
  </si>
  <si>
    <t>BHQ</t>
  </si>
  <si>
    <t>CRUSHER CONS</t>
  </si>
  <si>
    <t>Excavator RHS</t>
  </si>
  <si>
    <t>Loader RHS</t>
  </si>
  <si>
    <t xml:space="preserve">MINING PRODUCTION DETAILS </t>
  </si>
  <si>
    <t>FEEDER HRS</t>
  </si>
  <si>
    <t>NW &amp; LOKO TRACK RHS</t>
  </si>
  <si>
    <t>NW &amp; LOKO TRACK MT</t>
  </si>
  <si>
    <t xml:space="preserve">SHIFTING DATA </t>
  </si>
  <si>
    <t>Loader Hrs</t>
  </si>
  <si>
    <t>Trips</t>
  </si>
  <si>
    <t>EQUP. CONSUMPTION</t>
  </si>
  <si>
    <t>DG HSD CONSUMPTION</t>
  </si>
  <si>
    <t>EQUIPMENT RHS</t>
  </si>
  <si>
    <t>EQUIP.HSD CONSUMTION</t>
  </si>
  <si>
    <t>USE EQUIP.</t>
  </si>
  <si>
    <t>USE TIPPER NO.</t>
  </si>
  <si>
    <t>UES NO.</t>
  </si>
  <si>
    <t xml:space="preserve">Monthly </t>
  </si>
  <si>
    <t>mines consu.</t>
  </si>
  <si>
    <t>NOV-25 Crusher Stock_QTY.(MT)</t>
  </si>
  <si>
    <t>DMCS EXCAVATOR RHS</t>
  </si>
  <si>
    <t>DMS TIPPER RHS</t>
  </si>
  <si>
    <t>DMS ISSUE</t>
  </si>
  <si>
    <t>DMCS CON</t>
  </si>
  <si>
    <t>DMCS ISSUE</t>
  </si>
  <si>
    <t>DMCS CONSUMPION</t>
  </si>
  <si>
    <t>TOTAL MINING CONSUMPTION(DMCS+DRILL+BSM)</t>
  </si>
  <si>
    <t>Trips DMCS</t>
  </si>
  <si>
    <t>TOTAL  CONSUMTION</t>
  </si>
  <si>
    <t xml:space="preserve">TOTAL CONSUMPTION </t>
  </si>
  <si>
    <t>TOTAL EQ.RHS</t>
  </si>
  <si>
    <t>TOTAL EQ.CONSUMPTION</t>
  </si>
  <si>
    <t>NW CRUSHER (METSO WORK ORDER)</t>
  </si>
  <si>
    <t xml:space="preserve">LOKO TRACK CRUSHER BSM </t>
  </si>
  <si>
    <t>USE Equipment</t>
  </si>
  <si>
    <t>DG / LT  HSD Consuption</t>
  </si>
  <si>
    <t>LT HSD CONSUMTION</t>
  </si>
  <si>
    <t>SCREEN HSD CONSUMTION</t>
  </si>
  <si>
    <t>TANKER BALANCE</t>
  </si>
  <si>
    <t>FOR THE MONTH OF MAY-2026(SHIFTING DATA)</t>
  </si>
  <si>
    <t xml:space="preserve">HORRIZON </t>
  </si>
  <si>
    <t>HORRIZON</t>
  </si>
  <si>
    <t>HORRIZON SCREEN PLANT</t>
  </si>
  <si>
    <t>BSM T</t>
  </si>
  <si>
    <t>DMCS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</si>
</sst>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0">
    <xf numFmtId="0" fontId="0" fillId="0" borderId="0" xfId="0"/>
    <xf numFmtId="0" fontId="13" fillId="0" borderId="0" xfId="0" applyFont="1"/>
    <xf numFmtId="0" fontId="0" fillId="0" borderId="1" xfId="0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16" fillId="0" borderId="0" xfId="0" applyNumberFormat="1" applyFont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16" fillId="2" borderId="1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0" fillId="0" borderId="0" xfId="0" applyFont="1"/>
    <xf numFmtId="2" fontId="16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/>
    </xf>
    <xf numFmtId="2" fontId="16" fillId="5" borderId="1" xfId="0" applyNumberFormat="1" applyFont="1" applyFill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14" fontId="10" fillId="0" borderId="4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14" fontId="21" fillId="0" borderId="0" xfId="0" applyNumberFormat="1" applyFont="1"/>
    <xf numFmtId="0" fontId="16" fillId="5" borderId="11" xfId="0" applyFont="1" applyFill="1" applyBorder="1" applyAlignment="1">
      <alignment horizontal="center"/>
    </xf>
    <xf numFmtId="164" fontId="16" fillId="5" borderId="5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/>
    </xf>
    <xf numFmtId="0" fontId="0" fillId="8" borderId="0" xfId="0" applyFill="1"/>
    <xf numFmtId="2" fontId="12" fillId="0" borderId="0" xfId="0" applyNumberFormat="1" applyFont="1" applyAlignment="1">
      <alignment horizontal="center"/>
    </xf>
    <xf numFmtId="0" fontId="13" fillId="4" borderId="0" xfId="0" applyFont="1" applyFill="1"/>
    <xf numFmtId="2" fontId="16" fillId="2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1" fontId="16" fillId="0" borderId="1" xfId="0" applyNumberFormat="1" applyFont="1" applyBorder="1" applyAlignment="1">
      <alignment horizontal="center"/>
    </xf>
    <xf numFmtId="0" fontId="16" fillId="5" borderId="0" xfId="0" applyFont="1" applyFill="1" applyAlignment="1">
      <alignment horizontal="center"/>
    </xf>
    <xf numFmtId="2" fontId="16" fillId="5" borderId="0" xfId="0" applyNumberFormat="1" applyFont="1" applyFill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4" fillId="0" borderId="0" xfId="0" applyFont="1"/>
    <xf numFmtId="0" fontId="21" fillId="2" borderId="1" xfId="0" applyFont="1" applyFill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/>
    <xf numFmtId="1" fontId="16" fillId="12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13" fillId="12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16" fillId="11" borderId="12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2" fillId="2" borderId="0" xfId="0" applyFont="1" applyFill="1"/>
    <xf numFmtId="0" fontId="21" fillId="11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4" fontId="16" fillId="3" borderId="26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14" fontId="21" fillId="9" borderId="1" xfId="0" applyNumberFormat="1" applyFont="1" applyFill="1" applyBorder="1" applyAlignment="1">
      <alignment horizontal="center"/>
    </xf>
    <xf numFmtId="1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4" fillId="0" borderId="0" xfId="0" applyFont="1" applyAlignment="1">
      <alignment vertical="center"/>
    </xf>
    <xf numFmtId="164" fontId="16" fillId="10" borderId="1" xfId="0" applyNumberFormat="1" applyFont="1" applyFill="1" applyBorder="1" applyAlignment="1">
      <alignment horizontal="center" vertical="center"/>
    </xf>
    <xf numFmtId="164" fontId="16" fillId="10" borderId="4" xfId="0" applyNumberFormat="1" applyFont="1" applyFill="1" applyBorder="1" applyAlignment="1">
      <alignment horizontal="center" vertical="center"/>
    </xf>
    <xf numFmtId="164" fontId="16" fillId="10" borderId="13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6" fillId="8" borderId="12" xfId="0" applyFont="1" applyFill="1" applyBorder="1" applyAlignment="1">
      <alignment horizontal="center" vertical="center"/>
    </xf>
    <xf numFmtId="1" fontId="16" fillId="12" borderId="7" xfId="0" applyNumberFormat="1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 vertical="center"/>
    </xf>
    <xf numFmtId="0" fontId="0" fillId="12" borderId="0" xfId="0" applyFill="1"/>
    <xf numFmtId="2" fontId="21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2" fontId="21" fillId="2" borderId="3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2" fontId="21" fillId="2" borderId="4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0" fillId="9" borderId="0" xfId="0" applyFill="1"/>
    <xf numFmtId="0" fontId="21" fillId="11" borderId="18" xfId="0" applyFont="1" applyFill="1" applyBorder="1" applyAlignment="1">
      <alignment horizontal="center" vertical="center" wrapText="1"/>
    </xf>
    <xf numFmtId="0" fontId="21" fillId="13" borderId="17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23" fillId="11" borderId="1" xfId="0" applyFont="1" applyFill="1" applyBorder="1" applyAlignment="1">
      <alignment horizontal="center" vertical="center" wrapText="1"/>
    </xf>
    <xf numFmtId="0" fontId="23" fillId="11" borderId="18" xfId="0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2" fontId="23" fillId="11" borderId="1" xfId="0" applyNumberFormat="1" applyFont="1" applyFill="1" applyBorder="1" applyAlignment="1">
      <alignment horizontal="center" vertical="center"/>
    </xf>
    <xf numFmtId="2" fontId="23" fillId="11" borderId="18" xfId="0" applyNumberFormat="1" applyFont="1" applyFill="1" applyBorder="1" applyAlignment="1">
      <alignment horizontal="center" vertical="center"/>
    </xf>
    <xf numFmtId="2" fontId="23" fillId="13" borderId="17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11" borderId="18" xfId="0" applyFont="1" applyFill="1" applyBorder="1" applyAlignment="1">
      <alignment horizontal="center" vertical="center"/>
    </xf>
    <xf numFmtId="0" fontId="23" fillId="1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16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/>
    <xf numFmtId="1" fontId="12" fillId="0" borderId="0" xfId="0" applyNumberFormat="1" applyFont="1" applyAlignment="1">
      <alignment horizontal="center"/>
    </xf>
    <xf numFmtId="0" fontId="14" fillId="2" borderId="2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64" fontId="16" fillId="11" borderId="1" xfId="0" applyNumberFormat="1" applyFont="1" applyFill="1" applyBorder="1" applyAlignment="1">
      <alignment horizontal="center" vertical="center"/>
    </xf>
    <xf numFmtId="164" fontId="16" fillId="11" borderId="3" xfId="0" applyNumberFormat="1" applyFont="1" applyFill="1" applyBorder="1" applyAlignment="1">
      <alignment horizontal="center" vertical="center"/>
    </xf>
    <xf numFmtId="164" fontId="16" fillId="11" borderId="4" xfId="0" applyNumberFormat="1" applyFont="1" applyFill="1" applyBorder="1" applyAlignment="1">
      <alignment horizontal="center" vertical="center"/>
    </xf>
    <xf numFmtId="164" fontId="16" fillId="11" borderId="13" xfId="0" applyNumberFormat="1" applyFont="1" applyFill="1" applyBorder="1" applyAlignment="1">
      <alignment horizontal="center" vertical="center"/>
    </xf>
    <xf numFmtId="1" fontId="21" fillId="0" borderId="0" xfId="0" applyNumberFormat="1" applyFont="1"/>
    <xf numFmtId="1" fontId="17" fillId="0" borderId="0" xfId="0" applyNumberFormat="1" applyFont="1"/>
    <xf numFmtId="2" fontId="21" fillId="0" borderId="0" xfId="0" applyNumberFormat="1" applyFont="1"/>
    <xf numFmtId="0" fontId="1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6" fillId="0" borderId="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0" fontId="16" fillId="0" borderId="1" xfId="0" applyFont="1" applyBorder="1" applyAlignment="1">
      <alignment horizontal="centerContinuous" vertical="center"/>
    </xf>
    <xf numFmtId="2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5" fontId="0" fillId="0" borderId="0" xfId="0" applyNumberFormat="1"/>
    <xf numFmtId="2" fontId="23" fillId="0" borderId="0" xfId="0" applyNumberFormat="1" applyFont="1"/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Continuous" vertical="center" wrapText="1"/>
    </xf>
    <xf numFmtId="0" fontId="23" fillId="0" borderId="19" xfId="0" applyFont="1" applyBorder="1" applyAlignment="1">
      <alignment horizontal="centerContinuous" vertical="center"/>
    </xf>
    <xf numFmtId="0" fontId="24" fillId="0" borderId="16" xfId="0" applyFont="1" applyBorder="1" applyAlignment="1">
      <alignment horizontal="centerContinuous" vertical="center" wrapText="1"/>
    </xf>
    <xf numFmtId="0" fontId="16" fillId="0" borderId="17" xfId="0" applyFont="1" applyBorder="1" applyAlignment="1">
      <alignment horizontal="centerContinuous" vertical="center"/>
    </xf>
    <xf numFmtId="0" fontId="16" fillId="0" borderId="18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2" fontId="16" fillId="0" borderId="2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35" xfId="0" applyBorder="1" applyAlignment="1">
      <alignment horizontal="center"/>
    </xf>
    <xf numFmtId="0" fontId="16" fillId="0" borderId="2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Continuous" vertical="center" wrapText="1"/>
    </xf>
    <xf numFmtId="0" fontId="16" fillId="0" borderId="17" xfId="0" applyFont="1" applyBorder="1" applyAlignment="1">
      <alignment horizontal="center"/>
    </xf>
    <xf numFmtId="2" fontId="23" fillId="0" borderId="17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14" fontId="14" fillId="0" borderId="33" xfId="0" applyNumberFormat="1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2" fontId="14" fillId="11" borderId="43" xfId="0" applyNumberFormat="1" applyFont="1" applyFill="1" applyBorder="1" applyAlignment="1">
      <alignment horizontal="center" vertical="center"/>
    </xf>
    <xf numFmtId="0" fontId="23" fillId="13" borderId="26" xfId="0" applyFont="1" applyFill="1" applyBorder="1" applyAlignment="1">
      <alignment horizontal="center" vertical="center"/>
    </xf>
    <xf numFmtId="2" fontId="14" fillId="13" borderId="43" xfId="0" applyNumberFormat="1" applyFont="1" applyFill="1" applyBorder="1" applyAlignment="1">
      <alignment horizontal="center" vertical="center"/>
    </xf>
    <xf numFmtId="164" fontId="16" fillId="10" borderId="3" xfId="0" applyNumberFormat="1" applyFont="1" applyFill="1" applyBorder="1" applyAlignment="1">
      <alignment horizontal="center" vertical="center"/>
    </xf>
    <xf numFmtId="164" fontId="16" fillId="10" borderId="12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1" fontId="16" fillId="1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/>
    <xf numFmtId="164" fontId="0" fillId="14" borderId="1" xfId="0" applyNumberFormat="1" applyFill="1" applyBorder="1"/>
    <xf numFmtId="0" fontId="16" fillId="15" borderId="1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Continuous" vertical="center"/>
    </xf>
    <xf numFmtId="0" fontId="16" fillId="16" borderId="1" xfId="0" applyFont="1" applyFill="1" applyBorder="1" applyAlignment="1">
      <alignment horizontal="center" vertical="center"/>
    </xf>
    <xf numFmtId="2" fontId="16" fillId="16" borderId="1" xfId="0" applyNumberFormat="1" applyFont="1" applyFill="1" applyBorder="1" applyAlignment="1">
      <alignment horizontal="center" vertical="center"/>
    </xf>
    <xf numFmtId="164" fontId="16" fillId="16" borderId="1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Continuous" vertical="center"/>
    </xf>
    <xf numFmtId="14" fontId="21" fillId="2" borderId="3" xfId="0" applyNumberFormat="1" applyFont="1" applyFill="1" applyBorder="1" applyAlignment="1">
      <alignment horizontal="centerContinuous" vertical="center"/>
    </xf>
    <xf numFmtId="0" fontId="21" fillId="2" borderId="3" xfId="0" applyFont="1" applyFill="1" applyBorder="1" applyAlignment="1">
      <alignment horizontal="centerContinuous" vertical="center" wrapText="1"/>
    </xf>
    <xf numFmtId="0" fontId="21" fillId="2" borderId="3" xfId="0" applyFont="1" applyFill="1" applyBorder="1" applyAlignment="1">
      <alignment horizontal="centerContinuous" vertical="center"/>
    </xf>
    <xf numFmtId="0" fontId="21" fillId="2" borderId="7" xfId="0" applyFont="1" applyFill="1" applyBorder="1" applyAlignment="1">
      <alignment horizontal="centerContinuous" vertical="center" wrapText="1"/>
    </xf>
    <xf numFmtId="0" fontId="21" fillId="15" borderId="0" xfId="0" applyFont="1" applyFill="1" applyAlignment="1">
      <alignment horizontal="centerContinuous" vertical="center" wrapText="1"/>
    </xf>
    <xf numFmtId="0" fontId="21" fillId="10" borderId="10" xfId="0" applyFont="1" applyFill="1" applyBorder="1" applyAlignment="1">
      <alignment horizontal="centerContinuous" vertical="center"/>
    </xf>
    <xf numFmtId="0" fontId="21" fillId="10" borderId="5" xfId="0" applyFont="1" applyFill="1" applyBorder="1" applyAlignment="1">
      <alignment horizontal="centerContinuous" vertical="center"/>
    </xf>
    <xf numFmtId="0" fontId="21" fillId="12" borderId="9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18" fillId="0" borderId="0" xfId="0" applyFont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Continuous" vertical="center" wrapText="1"/>
    </xf>
    <xf numFmtId="0" fontId="16" fillId="6" borderId="1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Continuous" vertical="center" wrapText="1"/>
    </xf>
    <xf numFmtId="0" fontId="21" fillId="15" borderId="1" xfId="0" applyFont="1" applyFill="1" applyBorder="1" applyAlignment="1">
      <alignment horizontal="centerContinuous" vertical="center" wrapText="1"/>
    </xf>
    <xf numFmtId="0" fontId="21" fillId="15" borderId="14" xfId="0" applyFont="1" applyFill="1" applyBorder="1" applyAlignment="1">
      <alignment horizontal="centerContinuous" vertical="center" wrapText="1"/>
    </xf>
    <xf numFmtId="0" fontId="16" fillId="15" borderId="8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2" fontId="16" fillId="15" borderId="1" xfId="0" applyNumberFormat="1" applyFont="1" applyFill="1" applyBorder="1" applyAlignment="1">
      <alignment horizontal="center" vertical="center"/>
    </xf>
    <xf numFmtId="1" fontId="16" fillId="15" borderId="1" xfId="0" applyNumberFormat="1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2" fontId="23" fillId="17" borderId="18" xfId="0" applyNumberFormat="1" applyFont="1" applyFill="1" applyBorder="1" applyAlignment="1">
      <alignment horizontal="center" vertical="center" wrapText="1"/>
    </xf>
    <xf numFmtId="2" fontId="23" fillId="17" borderId="18" xfId="0" applyNumberFormat="1" applyFont="1" applyFill="1" applyBorder="1" applyAlignment="1">
      <alignment horizontal="center" vertical="center"/>
    </xf>
    <xf numFmtId="2" fontId="14" fillId="17" borderId="35" xfId="0" applyNumberFormat="1" applyFont="1" applyFill="1" applyBorder="1" applyAlignment="1">
      <alignment horizontal="center"/>
    </xf>
    <xf numFmtId="0" fontId="21" fillId="13" borderId="7" xfId="0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2" fontId="23" fillId="13" borderId="7" xfId="0" applyNumberFormat="1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center" vertical="center"/>
    </xf>
    <xf numFmtId="0" fontId="23" fillId="13" borderId="33" xfId="0" applyFont="1" applyFill="1" applyBorder="1" applyAlignment="1">
      <alignment horizontal="center" vertical="center"/>
    </xf>
    <xf numFmtId="2" fontId="14" fillId="13" borderId="44" xfId="0" applyNumberFormat="1" applyFont="1" applyFill="1" applyBorder="1" applyAlignment="1">
      <alignment horizontal="center" vertical="center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2" fontId="14" fillId="9" borderId="35" xfId="0" applyNumberFormat="1" applyFont="1" applyFill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/>
    </xf>
    <xf numFmtId="2" fontId="14" fillId="17" borderId="46" xfId="0" applyNumberFormat="1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center" vertical="center" wrapText="1"/>
    </xf>
    <xf numFmtId="2" fontId="23" fillId="17" borderId="49" xfId="0" applyNumberFormat="1" applyFont="1" applyFill="1" applyBorder="1" applyAlignment="1">
      <alignment horizontal="center" vertical="center" wrapText="1"/>
    </xf>
    <xf numFmtId="0" fontId="21" fillId="9" borderId="43" xfId="0" applyFont="1" applyFill="1" applyBorder="1" applyAlignment="1">
      <alignment horizontal="center" vertical="center" wrapText="1"/>
    </xf>
    <xf numFmtId="0" fontId="21" fillId="9" borderId="45" xfId="0" applyFont="1" applyFill="1" applyBorder="1" applyAlignment="1">
      <alignment horizontal="center" vertical="center" wrapText="1"/>
    </xf>
    <xf numFmtId="0" fontId="21" fillId="17" borderId="12" xfId="0" applyFont="1" applyFill="1" applyBorder="1" applyAlignment="1">
      <alignment horizontal="center" vertical="center" wrapText="1"/>
    </xf>
    <xf numFmtId="2" fontId="21" fillId="17" borderId="45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14" fontId="15" fillId="2" borderId="3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7" fontId="15" fillId="2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14" fillId="0" borderId="50" xfId="0" applyNumberFormat="1" applyFont="1" applyBorder="1" applyAlignment="1">
      <alignment horizontal="center" vertical="center"/>
    </xf>
    <xf numFmtId="14" fontId="16" fillId="0" borderId="51" xfId="0" applyNumberFormat="1" applyFont="1" applyBorder="1" applyAlignment="1">
      <alignment horizontal="center" vertical="center" wrapText="1"/>
    </xf>
    <xf numFmtId="14" fontId="14" fillId="0" borderId="51" xfId="0" applyNumberFormat="1" applyFont="1" applyBorder="1" applyAlignment="1">
      <alignment horizontal="center" vertical="center" wrapText="1"/>
    </xf>
    <xf numFmtId="14" fontId="14" fillId="0" borderId="51" xfId="0" applyNumberFormat="1" applyFont="1" applyBorder="1" applyAlignment="1">
      <alignment horizontal="center" vertical="center"/>
    </xf>
    <xf numFmtId="14" fontId="14" fillId="0" borderId="7" xfId="0" applyNumberFormat="1" applyFont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2" fontId="23" fillId="11" borderId="5" xfId="0" applyNumberFormat="1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/>
    </xf>
    <xf numFmtId="2" fontId="23" fillId="2" borderId="18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3" fillId="2" borderId="13" xfId="0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1" fontId="16" fillId="6" borderId="5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2" fontId="16" fillId="6" borderId="12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2" fontId="23" fillId="2" borderId="12" xfId="0" applyNumberFormat="1" applyFont="1" applyFill="1" applyBorder="1" applyAlignment="1">
      <alignment horizontal="center" vertical="center"/>
    </xf>
    <xf numFmtId="14" fontId="14" fillId="0" borderId="36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2" fillId="8" borderId="0" xfId="0" applyNumberFormat="1" applyFont="1" applyFill="1" applyAlignment="1">
      <alignment horizontal="center"/>
    </xf>
    <xf numFmtId="0" fontId="21" fillId="16" borderId="0" xfId="0" applyFont="1" applyFill="1" applyAlignment="1">
      <alignment horizontal="center" vertical="center"/>
    </xf>
    <xf numFmtId="0" fontId="15" fillId="16" borderId="0" xfId="0" applyFont="1" applyFill="1" applyAlignment="1">
      <alignment horizontal="center" vertical="center" wrapText="1"/>
    </xf>
    <xf numFmtId="1" fontId="16" fillId="16" borderId="0" xfId="0" applyNumberFormat="1" applyFont="1" applyFill="1" applyAlignment="1">
      <alignment horizontal="center" vertical="center"/>
    </xf>
    <xf numFmtId="0" fontId="21" fillId="18" borderId="0" xfId="0" applyFont="1" applyFill="1" applyAlignment="1">
      <alignment horizontal="centerContinuous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/>
    </xf>
    <xf numFmtId="2" fontId="16" fillId="18" borderId="1" xfId="0" applyNumberFormat="1" applyFont="1" applyFill="1" applyBorder="1" applyAlignment="1">
      <alignment horizontal="center" vertical="center"/>
    </xf>
    <xf numFmtId="0" fontId="16" fillId="18" borderId="12" xfId="0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/>
    </xf>
    <xf numFmtId="0" fontId="23" fillId="2" borderId="52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/>
    </xf>
    <xf numFmtId="0" fontId="23" fillId="6" borderId="48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3" fillId="11" borderId="41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1" fillId="16" borderId="5" xfId="0" applyFont="1" applyFill="1" applyBorder="1" applyAlignment="1">
      <alignment horizontal="centerContinuous" vertical="center"/>
    </xf>
    <xf numFmtId="0" fontId="17" fillId="16" borderId="1" xfId="0" applyFont="1" applyFill="1" applyBorder="1" applyAlignment="1">
      <alignment horizontal="center" vertical="center" wrapText="1"/>
    </xf>
    <xf numFmtId="164" fontId="16" fillId="16" borderId="3" xfId="0" applyNumberFormat="1" applyFont="1" applyFill="1" applyBorder="1" applyAlignment="1">
      <alignment horizontal="center" vertical="center"/>
    </xf>
    <xf numFmtId="164" fontId="16" fillId="16" borderId="4" xfId="0" applyNumberFormat="1" applyFont="1" applyFill="1" applyBorder="1" applyAlignment="1">
      <alignment horizontal="center" vertical="center"/>
    </xf>
    <xf numFmtId="164" fontId="16" fillId="16" borderId="13" xfId="0" applyNumberFormat="1" applyFont="1" applyFill="1" applyBorder="1" applyAlignment="1">
      <alignment horizontal="center" vertical="center"/>
    </xf>
    <xf numFmtId="0" fontId="12" fillId="16" borderId="0" xfId="0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0" fontId="13" fillId="16" borderId="0" xfId="0" applyFont="1" applyFill="1"/>
    <xf numFmtId="164" fontId="16" fillId="8" borderId="12" xfId="0" applyNumberFormat="1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16" borderId="1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1" fontId="16" fillId="7" borderId="25" xfId="0" applyNumberFormat="1" applyFont="1" applyFill="1" applyBorder="1" applyAlignment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1" fontId="21" fillId="0" borderId="1" xfId="0" applyNumberFormat="1" applyFont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14" fontId="23" fillId="0" borderId="33" xfId="0" applyNumberFormat="1" applyFont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14" fontId="23" fillId="0" borderId="34" xfId="0" applyNumberFormat="1" applyFont="1" applyBorder="1" applyAlignment="1">
      <alignment horizontal="center" vertical="center"/>
    </xf>
    <xf numFmtId="14" fontId="14" fillId="13" borderId="30" xfId="0" applyNumberFormat="1" applyFont="1" applyFill="1" applyBorder="1" applyAlignment="1">
      <alignment horizontal="center" vertical="center"/>
    </xf>
    <xf numFmtId="14" fontId="14" fillId="13" borderId="31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21" fillId="9" borderId="12" xfId="0" applyNumberFormat="1" applyFont="1" applyFill="1" applyBorder="1" applyAlignment="1">
      <alignment horizontal="center" vertical="center" wrapText="1"/>
    </xf>
    <xf numFmtId="14" fontId="21" fillId="9" borderId="45" xfId="0" applyNumberFormat="1" applyFont="1" applyFill="1" applyBorder="1" applyAlignment="1">
      <alignment horizontal="center" vertical="center" wrapText="1"/>
    </xf>
    <xf numFmtId="14" fontId="14" fillId="9" borderId="27" xfId="0" applyNumberFormat="1" applyFont="1" applyFill="1" applyBorder="1" applyAlignment="1">
      <alignment horizontal="center" vertical="center"/>
    </xf>
    <xf numFmtId="14" fontId="14" fillId="9" borderId="28" xfId="0" applyNumberFormat="1" applyFont="1" applyFill="1" applyBorder="1" applyAlignment="1">
      <alignment horizontal="center" vertical="center"/>
    </xf>
    <xf numFmtId="2" fontId="14" fillId="11" borderId="44" xfId="0" applyNumberFormat="1" applyFont="1" applyFill="1" applyBorder="1" applyAlignment="1">
      <alignment horizontal="center" vertical="center"/>
    </xf>
    <xf numFmtId="2" fontId="14" fillId="11" borderId="29" xfId="0" applyNumberFormat="1" applyFont="1" applyFill="1" applyBorder="1" applyAlignment="1">
      <alignment horizontal="center" vertical="center"/>
    </xf>
    <xf numFmtId="2" fontId="14" fillId="11" borderId="28" xfId="0" applyNumberFormat="1" applyFont="1" applyFill="1" applyBorder="1" applyAlignment="1">
      <alignment horizontal="center" vertical="center"/>
    </xf>
    <xf numFmtId="2" fontId="14" fillId="9" borderId="22" xfId="0" applyNumberFormat="1" applyFont="1" applyFill="1" applyBorder="1" applyAlignment="1">
      <alignment horizontal="center" vertical="center"/>
    </xf>
    <xf numFmtId="2" fontId="14" fillId="9" borderId="46" xfId="0" applyNumberFormat="1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2" fontId="14" fillId="2" borderId="27" xfId="0" applyNumberFormat="1" applyFont="1" applyFill="1" applyBorder="1" applyAlignment="1">
      <alignment horizontal="center" vertical="center"/>
    </xf>
    <xf numFmtId="2" fontId="14" fillId="2" borderId="29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14" fillId="2" borderId="30" xfId="0" applyNumberFormat="1" applyFont="1" applyFill="1" applyBorder="1" applyAlignment="1">
      <alignment horizontal="center" vertical="center"/>
    </xf>
    <xf numFmtId="14" fontId="14" fillId="2" borderId="31" xfId="0" applyNumberFormat="1" applyFont="1" applyFill="1" applyBorder="1" applyAlignment="1">
      <alignment horizontal="center" vertical="center"/>
    </xf>
    <xf numFmtId="14" fontId="14" fillId="2" borderId="32" xfId="0" applyNumberFormat="1" applyFont="1" applyFill="1" applyBorder="1" applyAlignment="1">
      <alignment horizontal="center" vertical="center"/>
    </xf>
    <xf numFmtId="14" fontId="14" fillId="11" borderId="31" xfId="0" applyNumberFormat="1" applyFont="1" applyFill="1" applyBorder="1" applyAlignment="1">
      <alignment horizontal="center" vertical="center"/>
    </xf>
    <xf numFmtId="14" fontId="14" fillId="11" borderId="3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workbookViewId="0">
      <selection activeCell="H17" sqref="H17"/>
    </sheetView>
  </sheetViews>
  <sheetFormatPr defaultColWidth="9" defaultRowHeight="14.4"/>
  <cols>
    <col min="2" max="2" width="22.33203125" customWidth="1"/>
    <col min="3" max="3" width="17.44140625" customWidth="1"/>
    <col min="4" max="34" width="4.6640625" customWidth="1"/>
    <col min="35" max="35" width="6.44140625" customWidth="1"/>
    <col min="36" max="36" width="9.33203125" customWidth="1"/>
  </cols>
  <sheetData>
    <row r="1" spans="1:37" ht="21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</row>
    <row r="2" spans="1:37" ht="43.2">
      <c r="A2" s="4" t="s">
        <v>1</v>
      </c>
      <c r="B2" s="4" t="s">
        <v>2</v>
      </c>
      <c r="C2" s="4" t="s">
        <v>3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4">
        <v>31</v>
      </c>
      <c r="AI2" s="5" t="s">
        <v>4</v>
      </c>
      <c r="AJ2" s="6" t="s">
        <v>5</v>
      </c>
      <c r="AK2" s="7" t="s">
        <v>6</v>
      </c>
    </row>
    <row r="3" spans="1:37">
      <c r="A3" s="2">
        <v>1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f>D3+E3+F3+G3+H3+I3+J3+K3+L3+M3+N3+O3+P3+Q3+R3+S3+T3+U3+V3+W3+X3+Y3+Z3+AA3+AB3+AC3+AD3+AE3+AG3+AH3</f>
        <v>0</v>
      </c>
      <c r="AJ3" s="8">
        <f>COUNTIF(D3:AH3,"25")</f>
        <v>0</v>
      </c>
      <c r="AK3" s="2">
        <f>AJ3*50</f>
        <v>0</v>
      </c>
    </row>
    <row r="4" spans="1:37">
      <c r="A4" s="2">
        <v>2</v>
      </c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f t="shared" ref="AI4:AI21" si="0">D4+E4+F4+G4+H4+I4+J4+K4+L4+M4+N4+O4+P4+Q4+R4+S4+T4+U4+V4+W4+X4+Y4+Z4+AA4+AB4+AC4+AD4+AE4+AG4+AH4</f>
        <v>0</v>
      </c>
      <c r="AJ4" s="8">
        <f t="shared" ref="AJ4:AJ23" si="1">COUNTIF(D4:AH4,"25")</f>
        <v>0</v>
      </c>
      <c r="AK4" s="2">
        <f t="shared" ref="AK4:AK21" si="2">AJ4*50</f>
        <v>0</v>
      </c>
    </row>
    <row r="5" spans="1:37">
      <c r="A5" s="2">
        <v>3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>
        <f t="shared" si="0"/>
        <v>0</v>
      </c>
      <c r="AJ5" s="8">
        <f t="shared" si="1"/>
        <v>0</v>
      </c>
      <c r="AK5" s="2">
        <f t="shared" si="2"/>
        <v>0</v>
      </c>
    </row>
    <row r="6" spans="1:37">
      <c r="A6" s="2">
        <v>4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>
        <f t="shared" si="0"/>
        <v>0</v>
      </c>
      <c r="AJ6" s="8">
        <f t="shared" si="1"/>
        <v>0</v>
      </c>
      <c r="AK6" s="2">
        <f t="shared" si="2"/>
        <v>0</v>
      </c>
    </row>
    <row r="7" spans="1:37">
      <c r="A7" s="2">
        <v>5</v>
      </c>
      <c r="B7" s="2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3">
        <f t="shared" si="0"/>
        <v>0</v>
      </c>
      <c r="AJ7" s="8">
        <f t="shared" si="1"/>
        <v>0</v>
      </c>
      <c r="AK7" s="2">
        <f t="shared" si="2"/>
        <v>0</v>
      </c>
    </row>
    <row r="8" spans="1:37">
      <c r="A8" s="2">
        <v>6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>
        <f t="shared" si="0"/>
        <v>0</v>
      </c>
      <c r="AJ8" s="8">
        <f t="shared" si="1"/>
        <v>0</v>
      </c>
      <c r="AK8" s="2">
        <f t="shared" si="2"/>
        <v>0</v>
      </c>
    </row>
    <row r="9" spans="1:37">
      <c r="A9" s="2">
        <v>7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3">
        <f t="shared" si="0"/>
        <v>0</v>
      </c>
      <c r="AJ9" s="8">
        <f t="shared" si="1"/>
        <v>0</v>
      </c>
      <c r="AK9" s="2">
        <f t="shared" si="2"/>
        <v>0</v>
      </c>
    </row>
    <row r="10" spans="1:37">
      <c r="A10" s="2">
        <v>8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3">
        <f t="shared" si="0"/>
        <v>0</v>
      </c>
      <c r="AJ10" s="8">
        <f t="shared" si="1"/>
        <v>0</v>
      </c>
      <c r="AK10" s="2">
        <f t="shared" si="2"/>
        <v>0</v>
      </c>
    </row>
    <row r="11" spans="1:37">
      <c r="A11" s="2">
        <v>9</v>
      </c>
      <c r="B11" s="2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>
        <f t="shared" si="0"/>
        <v>0</v>
      </c>
      <c r="AJ11" s="8">
        <f t="shared" si="1"/>
        <v>0</v>
      </c>
      <c r="AK11" s="2">
        <f t="shared" si="2"/>
        <v>0</v>
      </c>
    </row>
    <row r="12" spans="1:37">
      <c r="A12" s="2">
        <v>10</v>
      </c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>
        <f t="shared" si="0"/>
        <v>0</v>
      </c>
      <c r="AJ12" s="8">
        <f t="shared" si="1"/>
        <v>0</v>
      </c>
      <c r="AK12" s="2">
        <f t="shared" si="2"/>
        <v>0</v>
      </c>
    </row>
    <row r="13" spans="1:37">
      <c r="A13" s="2">
        <v>11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>
        <f t="shared" si="0"/>
        <v>0</v>
      </c>
      <c r="AJ13" s="8">
        <f t="shared" si="1"/>
        <v>0</v>
      </c>
      <c r="AK13" s="2">
        <f t="shared" si="2"/>
        <v>0</v>
      </c>
    </row>
    <row r="14" spans="1:37">
      <c r="A14" s="2">
        <v>12</v>
      </c>
      <c r="B14" s="2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>
        <f t="shared" si="0"/>
        <v>0</v>
      </c>
      <c r="AJ14" s="8">
        <f t="shared" si="1"/>
        <v>0</v>
      </c>
      <c r="AK14" s="2">
        <f t="shared" si="2"/>
        <v>0</v>
      </c>
    </row>
    <row r="15" spans="1:37">
      <c r="A15" s="2">
        <v>13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>
        <f t="shared" si="0"/>
        <v>0</v>
      </c>
      <c r="AJ15" s="8">
        <f t="shared" si="1"/>
        <v>0</v>
      </c>
      <c r="AK15" s="2">
        <f t="shared" si="2"/>
        <v>0</v>
      </c>
    </row>
    <row r="16" spans="1:37">
      <c r="A16" s="2">
        <v>14</v>
      </c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>
        <f t="shared" si="0"/>
        <v>0</v>
      </c>
      <c r="AJ16" s="8">
        <f t="shared" si="1"/>
        <v>0</v>
      </c>
      <c r="AK16" s="2">
        <f t="shared" si="2"/>
        <v>0</v>
      </c>
    </row>
    <row r="17" spans="1:37">
      <c r="A17" s="2">
        <v>15</v>
      </c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3">
        <f t="shared" si="0"/>
        <v>0</v>
      </c>
      <c r="AJ17" s="8">
        <f t="shared" si="1"/>
        <v>0</v>
      </c>
      <c r="AK17" s="2">
        <f t="shared" si="2"/>
        <v>0</v>
      </c>
    </row>
    <row r="18" spans="1:37">
      <c r="A18" s="2">
        <v>16</v>
      </c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>
        <f t="shared" si="0"/>
        <v>0</v>
      </c>
      <c r="AJ18" s="8">
        <f t="shared" si="1"/>
        <v>0</v>
      </c>
      <c r="AK18" s="2">
        <f t="shared" si="2"/>
        <v>0</v>
      </c>
    </row>
    <row r="19" spans="1:37">
      <c r="A19" s="2">
        <v>17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>
        <f t="shared" si="0"/>
        <v>0</v>
      </c>
      <c r="AJ19" s="8">
        <f t="shared" si="1"/>
        <v>0</v>
      </c>
      <c r="AK19" s="2">
        <f t="shared" si="2"/>
        <v>0</v>
      </c>
    </row>
    <row r="20" spans="1:37">
      <c r="A20" s="2">
        <v>18</v>
      </c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>
        <f t="shared" si="0"/>
        <v>0</v>
      </c>
      <c r="AJ20" s="8">
        <f t="shared" si="1"/>
        <v>0</v>
      </c>
      <c r="AK20" s="2">
        <f t="shared" si="2"/>
        <v>0</v>
      </c>
    </row>
    <row r="21" spans="1:37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>
        <f t="shared" si="0"/>
        <v>0</v>
      </c>
      <c r="AJ21" s="8">
        <f t="shared" si="1"/>
        <v>0</v>
      </c>
      <c r="AK21" s="2">
        <f t="shared" si="2"/>
        <v>0</v>
      </c>
    </row>
    <row r="22" spans="1:37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8">
        <f t="shared" si="1"/>
        <v>0</v>
      </c>
      <c r="AK22" s="2"/>
    </row>
    <row r="23" spans="1:37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8">
        <f t="shared" si="1"/>
        <v>0</v>
      </c>
      <c r="AK23" s="2"/>
    </row>
  </sheetData>
  <mergeCells count="1">
    <mergeCell ref="A1:AK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T635"/>
  <sheetViews>
    <sheetView zoomScale="83" zoomScaleNormal="83" workbookViewId="0">
      <pane xSplit="1" ySplit="2" topLeftCell="CG28" activePane="bottomRight" state="frozen"/>
      <selection pane="topRight" activeCell="B1" sqref="B1"/>
      <selection pane="bottomLeft" activeCell="A3" sqref="A3"/>
      <selection pane="bottomRight" activeCell="CK44" sqref="CK44"/>
    </sheetView>
  </sheetViews>
  <sheetFormatPr defaultColWidth="9" defaultRowHeight="14.4"/>
  <cols>
    <col min="1" max="1" width="13.33203125" style="31" customWidth="1"/>
    <col min="2" max="2" width="8.88671875" style="1" customWidth="1"/>
    <col min="3" max="3" width="10.88671875" style="1" customWidth="1"/>
    <col min="4" max="4" width="7.6640625" style="1" customWidth="1"/>
    <col min="5" max="5" width="9.44140625" style="1" customWidth="1"/>
    <col min="6" max="6" width="9.88671875" style="1" customWidth="1"/>
    <col min="7" max="7" width="12.109375" style="1" bestFit="1" customWidth="1"/>
    <col min="8" max="8" width="14.21875" style="1" customWidth="1"/>
    <col min="9" max="10" width="10.77734375" style="1" customWidth="1"/>
    <col min="11" max="11" width="12.6640625" style="1" customWidth="1"/>
    <col min="12" max="12" width="9.5546875" style="1" hidden="1" customWidth="1"/>
    <col min="13" max="13" width="9.88671875" style="1" customWidth="1"/>
    <col min="14" max="14" width="9.77734375" style="1" customWidth="1"/>
    <col min="15" max="15" width="7.5546875" style="52" customWidth="1"/>
    <col min="16" max="16" width="7.5546875" style="1" customWidth="1"/>
    <col min="17" max="17" width="9.77734375" style="52" customWidth="1"/>
    <col min="18" max="22" width="9" style="52" customWidth="1"/>
    <col min="23" max="23" width="9" style="1" customWidth="1"/>
    <col min="24" max="24" width="11.33203125" style="1" customWidth="1"/>
    <col min="25" max="25" width="6.44140625" style="1" bestFit="1" customWidth="1"/>
    <col min="26" max="26" width="8.44140625" style="1" customWidth="1"/>
    <col min="27" max="27" width="6.88671875" style="1" customWidth="1"/>
    <col min="28" max="29" width="9" style="1" customWidth="1"/>
    <col min="30" max="30" width="10" style="1" customWidth="1"/>
    <col min="31" max="32" width="9" style="1" customWidth="1"/>
    <col min="33" max="33" width="7.33203125" style="50" customWidth="1"/>
    <col min="34" max="36" width="7.6640625" style="50" customWidth="1"/>
    <col min="37" max="38" width="7.88671875" style="1" customWidth="1"/>
    <col min="39" max="41" width="7.6640625" style="1" customWidth="1"/>
    <col min="42" max="43" width="8.77734375" style="1" customWidth="1"/>
    <col min="44" max="44" width="6.88671875" style="120" customWidth="1"/>
    <col min="45" max="46" width="10.109375" style="120" customWidth="1"/>
    <col min="47" max="47" width="8.6640625" style="1" customWidth="1"/>
    <col min="48" max="48" width="11.44140625" style="120" customWidth="1"/>
    <col min="49" max="50" width="8.6640625" style="1" customWidth="1"/>
    <col min="51" max="51" width="10" style="1" customWidth="1"/>
    <col min="52" max="52" width="11.21875" style="1" bestFit="1" customWidth="1"/>
    <col min="53" max="53" width="9.77734375" style="1" bestFit="1" customWidth="1"/>
    <col min="54" max="54" width="8.6640625" style="1" customWidth="1"/>
    <col min="55" max="55" width="8" style="66" hidden="1" customWidth="1"/>
    <col min="56" max="56" width="7.21875" style="66" hidden="1" customWidth="1"/>
    <col min="57" max="57" width="9.88671875" style="66" hidden="1" customWidth="1"/>
    <col min="58" max="58" width="7.6640625" style="66" hidden="1" customWidth="1"/>
    <col min="59" max="62" width="7.109375" style="66" hidden="1" customWidth="1"/>
    <col min="63" max="63" width="11.21875" style="120" hidden="1" customWidth="1"/>
    <col min="64" max="64" width="10" style="120" hidden="1" customWidth="1"/>
    <col min="65" max="67" width="7.109375" style="120" customWidth="1"/>
    <col min="68" max="71" width="8.77734375" style="120" customWidth="1"/>
    <col min="72" max="75" width="7.21875" style="69" customWidth="1"/>
    <col min="76" max="76" width="9" style="69" customWidth="1"/>
    <col min="77" max="77" width="8.33203125" style="69" customWidth="1"/>
    <col min="78" max="78" width="7.6640625" style="120" customWidth="1"/>
    <col min="79" max="85" width="7.6640625" style="323" customWidth="1"/>
    <col min="86" max="86" width="10.21875" style="1" customWidth="1"/>
    <col min="87" max="87" width="8.21875" style="1" customWidth="1"/>
    <col min="88" max="89" width="7.44140625" style="1" customWidth="1"/>
    <col min="90" max="90" width="7.88671875" style="1" customWidth="1"/>
    <col min="91" max="91" width="7.6640625" style="1" customWidth="1"/>
    <col min="92" max="92" width="9.33203125" style="1" customWidth="1"/>
    <col min="93" max="93" width="7.77734375" style="1" customWidth="1"/>
    <col min="94" max="94" width="7.6640625" style="1" customWidth="1"/>
    <col min="95" max="95" width="11.44140625" style="1" customWidth="1"/>
    <col min="96" max="96" width="8.6640625" style="1" customWidth="1"/>
    <col min="97" max="97" width="8.109375" style="52" customWidth="1"/>
    <col min="98" max="98" width="9" style="48" customWidth="1"/>
    <col min="99" max="99" width="7.77734375" style="48" customWidth="1"/>
    <col min="100" max="101" width="9" style="48" customWidth="1"/>
    <col min="102" max="102" width="6.5546875" style="48" hidden="1" customWidth="1"/>
    <col min="103" max="103" width="7.21875" style="48" customWidth="1"/>
    <col min="104" max="104" width="8.5546875" style="93" customWidth="1"/>
    <col min="105" max="105" width="11.6640625" style="18" customWidth="1"/>
    <col min="106" max="106" width="13.109375" style="18" customWidth="1"/>
    <col min="107" max="107" width="10" style="18" customWidth="1"/>
    <col min="108" max="108" width="6.88671875" style="18" customWidth="1"/>
    <col min="109" max="111" width="9.77734375" style="18" customWidth="1"/>
    <col min="112" max="112" width="6.88671875" style="18" customWidth="1"/>
    <col min="113" max="114" width="11.109375" style="18" customWidth="1"/>
    <col min="115" max="115" width="11.5546875" style="70" bestFit="1" customWidth="1"/>
    <col min="116" max="116" width="7.88671875" customWidth="1"/>
    <col min="117" max="117" width="9" style="183"/>
  </cols>
  <sheetData>
    <row r="1" spans="1:150" s="203" customFormat="1" ht="18" customHeight="1">
      <c r="A1" s="194" t="s">
        <v>120</v>
      </c>
      <c r="B1" s="195"/>
      <c r="C1" s="195"/>
      <c r="D1" s="195"/>
      <c r="E1" s="195"/>
      <c r="F1" s="195"/>
      <c r="G1" s="196"/>
      <c r="H1" s="195"/>
      <c r="I1" s="195"/>
      <c r="J1" s="195"/>
      <c r="K1" s="197"/>
      <c r="L1" s="195"/>
      <c r="M1" s="209"/>
      <c r="N1" s="210" t="s">
        <v>67</v>
      </c>
      <c r="O1" s="210"/>
      <c r="P1" s="210"/>
      <c r="Q1" s="211"/>
      <c r="R1" s="198"/>
      <c r="S1" s="299"/>
      <c r="T1" s="299"/>
      <c r="U1" s="299"/>
      <c r="V1" s="299"/>
      <c r="W1" s="198"/>
      <c r="X1" s="206" t="s">
        <v>124</v>
      </c>
      <c r="Y1" s="206"/>
      <c r="Z1" s="206"/>
      <c r="AA1" s="206"/>
      <c r="AB1" s="206"/>
      <c r="AC1" s="206"/>
      <c r="AD1" s="193" t="s">
        <v>56</v>
      </c>
      <c r="AE1" s="198"/>
      <c r="AF1" s="198"/>
      <c r="AG1" s="193"/>
      <c r="AH1" s="193"/>
      <c r="AI1" s="193"/>
      <c r="AJ1" s="325" t="s">
        <v>32</v>
      </c>
      <c r="AK1" s="326"/>
      <c r="AL1" s="326"/>
      <c r="AM1" s="326"/>
      <c r="AN1" s="326"/>
      <c r="AO1" s="326"/>
      <c r="AP1" s="326"/>
      <c r="AQ1" s="326"/>
      <c r="AR1" s="338" t="s">
        <v>149</v>
      </c>
      <c r="AS1" s="338"/>
      <c r="AT1" s="338"/>
      <c r="AU1" s="338"/>
      <c r="AV1" s="338"/>
      <c r="AW1" s="338"/>
      <c r="AX1" s="338"/>
      <c r="AY1" s="338"/>
      <c r="AZ1" s="338"/>
      <c r="BA1" s="338"/>
      <c r="BB1" s="339"/>
      <c r="BC1" s="340" t="s">
        <v>150</v>
      </c>
      <c r="BD1" s="341"/>
      <c r="BE1" s="341"/>
      <c r="BF1" s="341"/>
      <c r="BG1" s="341"/>
      <c r="BH1" s="341"/>
      <c r="BI1" s="341"/>
      <c r="BJ1" s="341"/>
      <c r="BK1" s="341"/>
      <c r="BL1" s="341"/>
      <c r="BM1" s="189" t="s">
        <v>122</v>
      </c>
      <c r="BN1" s="189"/>
      <c r="BO1" s="189"/>
      <c r="BP1" s="189"/>
      <c r="BQ1" s="189"/>
      <c r="BR1" s="189"/>
      <c r="BS1" s="189"/>
      <c r="BT1" s="199" t="s">
        <v>95</v>
      </c>
      <c r="BU1" s="199"/>
      <c r="BV1" s="199"/>
      <c r="BW1" s="199"/>
      <c r="BX1" s="199"/>
      <c r="BY1" s="199"/>
      <c r="BZ1" s="200"/>
      <c r="CA1" s="316" t="s">
        <v>159</v>
      </c>
      <c r="CB1" s="316"/>
      <c r="CC1" s="316"/>
      <c r="CD1" s="316"/>
      <c r="CE1" s="316"/>
      <c r="CF1" s="316"/>
      <c r="CG1" s="316"/>
      <c r="CH1" s="327" t="s">
        <v>78</v>
      </c>
      <c r="CI1" s="327"/>
      <c r="CJ1" s="327"/>
      <c r="CK1" s="327"/>
      <c r="CL1" s="327"/>
      <c r="CM1" s="327"/>
      <c r="CN1" s="327"/>
      <c r="CO1" s="327"/>
      <c r="CP1" s="327"/>
      <c r="CQ1" s="327"/>
      <c r="CR1" s="327"/>
      <c r="CS1" s="327"/>
      <c r="CT1" s="330" t="s">
        <v>60</v>
      </c>
      <c r="CU1" s="331"/>
      <c r="CV1" s="331"/>
      <c r="CW1" s="331"/>
      <c r="CX1" s="331"/>
      <c r="CY1" s="331"/>
      <c r="CZ1" s="201"/>
      <c r="DA1" s="328" t="s">
        <v>70</v>
      </c>
      <c r="DB1" s="328"/>
      <c r="DC1" s="328"/>
      <c r="DD1" s="328"/>
      <c r="DE1" s="328"/>
      <c r="DF1" s="328"/>
      <c r="DG1" s="328"/>
      <c r="DH1" s="328"/>
      <c r="DI1" s="329"/>
      <c r="DJ1" s="296"/>
      <c r="DK1" s="202"/>
      <c r="DM1" s="74"/>
    </row>
    <row r="2" spans="1:150" s="52" customFormat="1" ht="63" customHeight="1">
      <c r="A2" s="243" t="s">
        <v>25</v>
      </c>
      <c r="B2" s="217" t="s">
        <v>83</v>
      </c>
      <c r="C2" s="217" t="s">
        <v>84</v>
      </c>
      <c r="D2" s="217" t="s">
        <v>85</v>
      </c>
      <c r="E2" s="217" t="s">
        <v>86</v>
      </c>
      <c r="F2" s="217" t="s">
        <v>73</v>
      </c>
      <c r="G2" s="253" t="s">
        <v>28</v>
      </c>
      <c r="H2" s="217" t="s">
        <v>87</v>
      </c>
      <c r="I2" s="217" t="s">
        <v>29</v>
      </c>
      <c r="J2" s="217" t="s">
        <v>30</v>
      </c>
      <c r="K2" s="254" t="s">
        <v>31</v>
      </c>
      <c r="L2" s="217" t="s">
        <v>81</v>
      </c>
      <c r="M2" s="242" t="s">
        <v>88</v>
      </c>
      <c r="N2" s="242" t="s">
        <v>34</v>
      </c>
      <c r="O2" s="242" t="s">
        <v>74</v>
      </c>
      <c r="P2" s="242" t="s">
        <v>89</v>
      </c>
      <c r="Q2" s="242" t="s">
        <v>90</v>
      </c>
      <c r="R2" s="242" t="s">
        <v>91</v>
      </c>
      <c r="S2" s="300" t="s">
        <v>137</v>
      </c>
      <c r="T2" s="300" t="s">
        <v>144</v>
      </c>
      <c r="U2" s="300" t="s">
        <v>138</v>
      </c>
      <c r="V2" s="300" t="s">
        <v>142</v>
      </c>
      <c r="W2" s="242" t="s">
        <v>82</v>
      </c>
      <c r="X2" s="255" t="s">
        <v>118</v>
      </c>
      <c r="Y2" s="255" t="s">
        <v>125</v>
      </c>
      <c r="Z2" s="255" t="s">
        <v>132</v>
      </c>
      <c r="AA2" s="255" t="s">
        <v>126</v>
      </c>
      <c r="AB2" s="255" t="s">
        <v>55</v>
      </c>
      <c r="AC2" s="255" t="s">
        <v>66</v>
      </c>
      <c r="AD2" s="242" t="s">
        <v>118</v>
      </c>
      <c r="AE2" s="242" t="s">
        <v>119</v>
      </c>
      <c r="AF2" s="242" t="s">
        <v>132</v>
      </c>
      <c r="AG2" s="244" t="s">
        <v>103</v>
      </c>
      <c r="AH2" s="244" t="s">
        <v>55</v>
      </c>
      <c r="AI2" s="242" t="s">
        <v>66</v>
      </c>
      <c r="AJ2" s="255" t="s">
        <v>133</v>
      </c>
      <c r="AK2" s="255" t="s">
        <v>35</v>
      </c>
      <c r="AL2" s="255" t="s">
        <v>36</v>
      </c>
      <c r="AM2" s="255" t="s">
        <v>37</v>
      </c>
      <c r="AN2" s="281" t="s">
        <v>77</v>
      </c>
      <c r="AO2" s="281" t="s">
        <v>116</v>
      </c>
      <c r="AP2" s="281" t="s">
        <v>76</v>
      </c>
      <c r="AQ2" s="255" t="s">
        <v>66</v>
      </c>
      <c r="AR2" s="245" t="s">
        <v>131</v>
      </c>
      <c r="AS2" s="245" t="s">
        <v>127</v>
      </c>
      <c r="AT2" s="245" t="s">
        <v>128</v>
      </c>
      <c r="AU2" s="245" t="s">
        <v>38</v>
      </c>
      <c r="AV2" s="245" t="s">
        <v>129</v>
      </c>
      <c r="AW2" s="245" t="s">
        <v>61</v>
      </c>
      <c r="AX2" s="246" t="s">
        <v>92</v>
      </c>
      <c r="AY2" s="246" t="s">
        <v>93</v>
      </c>
      <c r="AZ2" s="245" t="s">
        <v>55</v>
      </c>
      <c r="BA2" s="247" t="s">
        <v>53</v>
      </c>
      <c r="BB2" s="246" t="s">
        <v>54</v>
      </c>
      <c r="BC2" s="248" t="s">
        <v>99</v>
      </c>
      <c r="BD2" s="248" t="s">
        <v>100</v>
      </c>
      <c r="BE2" s="248" t="s">
        <v>55</v>
      </c>
      <c r="BF2" s="248" t="s">
        <v>53</v>
      </c>
      <c r="BG2" s="248" t="s">
        <v>111</v>
      </c>
      <c r="BH2" s="248" t="s">
        <v>151</v>
      </c>
      <c r="BI2" s="248" t="s">
        <v>129</v>
      </c>
      <c r="BJ2" s="312" t="s">
        <v>130</v>
      </c>
      <c r="BK2" s="312" t="s">
        <v>153</v>
      </c>
      <c r="BL2" s="248" t="s">
        <v>146</v>
      </c>
      <c r="BM2" s="249" t="s">
        <v>121</v>
      </c>
      <c r="BN2" s="249" t="s">
        <v>92</v>
      </c>
      <c r="BO2" s="249" t="s">
        <v>93</v>
      </c>
      <c r="BP2" s="249" t="s">
        <v>123</v>
      </c>
      <c r="BQ2" s="249" t="s">
        <v>147</v>
      </c>
      <c r="BR2" s="249" t="s">
        <v>152</v>
      </c>
      <c r="BS2" s="249" t="s">
        <v>148</v>
      </c>
      <c r="BT2" s="218" t="s">
        <v>35</v>
      </c>
      <c r="BU2" s="218" t="s">
        <v>55</v>
      </c>
      <c r="BV2" s="218" t="s">
        <v>131</v>
      </c>
      <c r="BW2" s="218" t="s">
        <v>129</v>
      </c>
      <c r="BX2" s="313" t="s">
        <v>130</v>
      </c>
      <c r="BY2" s="218" t="s">
        <v>154</v>
      </c>
      <c r="BZ2" s="218" t="s">
        <v>145</v>
      </c>
      <c r="CA2" s="252" t="s">
        <v>35</v>
      </c>
      <c r="CB2" s="252" t="s">
        <v>55</v>
      </c>
      <c r="CC2" s="252" t="s">
        <v>131</v>
      </c>
      <c r="CD2" s="252" t="s">
        <v>129</v>
      </c>
      <c r="CE2" s="317" t="s">
        <v>130</v>
      </c>
      <c r="CF2" s="252" t="s">
        <v>154</v>
      </c>
      <c r="CG2" s="252" t="s">
        <v>145</v>
      </c>
      <c r="CH2" s="117" t="s">
        <v>39</v>
      </c>
      <c r="CI2" s="256" t="s">
        <v>40</v>
      </c>
      <c r="CJ2" s="117" t="s">
        <v>41</v>
      </c>
      <c r="CK2" s="117" t="s">
        <v>42</v>
      </c>
      <c r="CL2" s="117" t="s">
        <v>44</v>
      </c>
      <c r="CM2" s="117" t="s">
        <v>43</v>
      </c>
      <c r="CN2" s="117" t="s">
        <v>96</v>
      </c>
      <c r="CO2" s="117" t="s">
        <v>95</v>
      </c>
      <c r="CP2" s="117" t="s">
        <v>141</v>
      </c>
      <c r="CQ2" s="117" t="s">
        <v>157</v>
      </c>
      <c r="CR2" s="117" t="s">
        <v>45</v>
      </c>
      <c r="CS2" s="117" t="s">
        <v>46</v>
      </c>
      <c r="CT2" s="250" t="s">
        <v>26</v>
      </c>
      <c r="CU2" s="250" t="s">
        <v>48</v>
      </c>
      <c r="CV2" s="250" t="s">
        <v>27</v>
      </c>
      <c r="CW2" s="250" t="s">
        <v>49</v>
      </c>
      <c r="CX2" s="251" t="s">
        <v>139</v>
      </c>
      <c r="CY2" s="250" t="s">
        <v>50</v>
      </c>
      <c r="CZ2" s="251" t="s">
        <v>80</v>
      </c>
      <c r="DA2" s="252" t="s">
        <v>62</v>
      </c>
      <c r="DB2" s="252" t="s">
        <v>43</v>
      </c>
      <c r="DC2" s="252" t="s">
        <v>33</v>
      </c>
      <c r="DD2" s="252" t="s">
        <v>97</v>
      </c>
      <c r="DE2" s="252" t="s">
        <v>95</v>
      </c>
      <c r="DF2" s="252" t="s">
        <v>158</v>
      </c>
      <c r="DG2" s="252" t="s">
        <v>140</v>
      </c>
      <c r="DH2" s="252" t="s">
        <v>79</v>
      </c>
      <c r="DI2" s="252" t="s">
        <v>69</v>
      </c>
      <c r="DJ2" s="297" t="s">
        <v>143</v>
      </c>
      <c r="DK2" s="314" t="s">
        <v>155</v>
      </c>
      <c r="DL2" s="293" t="s">
        <v>135</v>
      </c>
      <c r="DM2" s="257" t="s">
        <v>117</v>
      </c>
    </row>
    <row r="3" spans="1:150" ht="15.6">
      <c r="A3" s="32">
        <v>46143</v>
      </c>
      <c r="B3" s="34"/>
      <c r="C3" s="4"/>
      <c r="D3" s="4"/>
      <c r="E3" s="4"/>
      <c r="F3" s="4">
        <f>+B3+C3+D3+E3</f>
        <v>0</v>
      </c>
      <c r="G3" s="4">
        <f t="shared" ref="G3:G33" si="0">B3*30</f>
        <v>0</v>
      </c>
      <c r="H3" s="4">
        <f t="shared" ref="H3:H33" si="1">C3*30</f>
        <v>0</v>
      </c>
      <c r="I3" s="4">
        <f t="shared" ref="I3:I33" si="2">D3*30</f>
        <v>0</v>
      </c>
      <c r="J3" s="4">
        <f t="shared" ref="J3:J33" si="3">E3*30</f>
        <v>0</v>
      </c>
      <c r="K3" s="12">
        <f t="shared" ref="K3:K33" si="4">G3+H3+I3+J3</f>
        <v>0</v>
      </c>
      <c r="L3" s="61">
        <f t="shared" ref="L3:L33" si="5">ROUNDUP(K3/2.7,0)</f>
        <v>0</v>
      </c>
      <c r="M3" s="212"/>
      <c r="N3" s="185"/>
      <c r="O3" s="185"/>
      <c r="P3" s="185"/>
      <c r="Q3" s="185"/>
      <c r="R3" s="185"/>
      <c r="S3" s="301"/>
      <c r="T3" s="301"/>
      <c r="U3" s="301"/>
      <c r="V3" s="301"/>
      <c r="W3" s="185">
        <f>P3-Q3-R3</f>
        <v>0</v>
      </c>
      <c r="X3" s="207"/>
      <c r="Y3" s="207"/>
      <c r="Z3" s="207"/>
      <c r="AA3" s="207"/>
      <c r="AB3" s="207"/>
      <c r="AC3" s="207"/>
      <c r="AD3" s="185"/>
      <c r="AE3" s="185"/>
      <c r="AF3" s="185"/>
      <c r="AG3" s="185"/>
      <c r="AH3" s="185"/>
      <c r="AI3" s="185"/>
      <c r="AJ3" s="207"/>
      <c r="AK3" s="207"/>
      <c r="AL3" s="207"/>
      <c r="AM3" s="207"/>
      <c r="AN3" s="282"/>
      <c r="AO3" s="282"/>
      <c r="AP3" s="282">
        <f>AM3-AN3-AO3</f>
        <v>0</v>
      </c>
      <c r="AQ3" s="283"/>
      <c r="AR3" s="6"/>
      <c r="AS3" s="6"/>
      <c r="AT3" s="6"/>
      <c r="AU3" s="60"/>
      <c r="AV3" s="6"/>
      <c r="AW3" s="62"/>
      <c r="AX3" s="62"/>
      <c r="AY3" s="62"/>
      <c r="AZ3" s="94"/>
      <c r="BA3" s="94"/>
      <c r="BB3" s="95">
        <f>AZ3-BA3</f>
        <v>0</v>
      </c>
      <c r="BC3" s="124"/>
      <c r="BD3" s="124"/>
      <c r="BE3" s="124"/>
      <c r="BF3" s="124"/>
      <c r="BG3" s="124"/>
      <c r="BH3" s="124"/>
      <c r="BI3" s="124"/>
      <c r="BJ3" s="124"/>
      <c r="BK3" s="124"/>
      <c r="BL3" s="124">
        <f>BJ3+BK3</f>
        <v>0</v>
      </c>
      <c r="BM3" s="188">
        <f t="shared" ref="BM3:BM33" si="6">+AW3+BC3</f>
        <v>0</v>
      </c>
      <c r="BN3" s="188">
        <f t="shared" ref="BN3:BN33" si="7">AX3+BC3</f>
        <v>0</v>
      </c>
      <c r="BO3" s="188">
        <f t="shared" ref="BO3:BO33" si="8">AY3+BD3</f>
        <v>0</v>
      </c>
      <c r="BP3" s="188">
        <f t="shared" ref="BP3:BP33" si="9">+AZ3+BE3</f>
        <v>0</v>
      </c>
      <c r="BQ3" s="188">
        <f t="shared" ref="BQ3:BQ33" si="10">AV3+BI3</f>
        <v>0</v>
      </c>
      <c r="BR3" s="188">
        <f>BK3+AT3</f>
        <v>0</v>
      </c>
      <c r="BS3" s="188">
        <f>+BR3+BJ3+AS3</f>
        <v>0</v>
      </c>
      <c r="BT3" s="86"/>
      <c r="BU3" s="86"/>
      <c r="BV3" s="86"/>
      <c r="BW3" s="86"/>
      <c r="BX3" s="86"/>
      <c r="BY3" s="86"/>
      <c r="BZ3" s="86">
        <f>+BX3+BY3</f>
        <v>0</v>
      </c>
      <c r="CA3" s="192"/>
      <c r="CB3" s="192"/>
      <c r="CC3" s="192"/>
      <c r="CD3" s="192"/>
      <c r="CE3" s="192"/>
      <c r="CF3" s="192"/>
      <c r="CG3" s="192">
        <f>+CE3+CF3</f>
        <v>0</v>
      </c>
      <c r="CH3" s="4"/>
      <c r="CI3" s="4"/>
      <c r="CJ3" s="55">
        <f>AQ3</f>
        <v>0</v>
      </c>
      <c r="CK3" s="4"/>
      <c r="CL3" s="4">
        <f t="shared" ref="CL3:CL17" si="11">AC3</f>
        <v>0</v>
      </c>
      <c r="CM3" s="22">
        <f t="shared" ref="CM3:CM33" si="12">AI3</f>
        <v>0</v>
      </c>
      <c r="CN3" s="4"/>
      <c r="CO3" s="13"/>
      <c r="CP3" s="4">
        <f>V3</f>
        <v>0</v>
      </c>
      <c r="CQ3" s="4"/>
      <c r="CR3" s="37">
        <f>+CH3+CI3+CJ3+CK3+CL3+CM3+CN3+CO3+CP3+CQ3</f>
        <v>0</v>
      </c>
      <c r="CS3" s="4"/>
      <c r="CT3" s="180">
        <v>237</v>
      </c>
      <c r="CU3" s="180">
        <f>CS3</f>
        <v>0</v>
      </c>
      <c r="CV3" s="180">
        <f>+CT3+CU3</f>
        <v>237</v>
      </c>
      <c r="CW3" s="181">
        <f>CR3</f>
        <v>0</v>
      </c>
      <c r="CX3" s="181"/>
      <c r="CY3" s="181">
        <f>CV3-CW3-CX3</f>
        <v>237</v>
      </c>
      <c r="CZ3" s="91"/>
      <c r="DA3" s="190">
        <f>CL3</f>
        <v>0</v>
      </c>
      <c r="DB3" s="191">
        <f>CM3</f>
        <v>0</v>
      </c>
      <c r="DC3" s="190">
        <f t="shared" ref="DC3:DC33" si="13">AS3+AT3</f>
        <v>0</v>
      </c>
      <c r="DD3" s="192">
        <f>BL3</f>
        <v>0</v>
      </c>
      <c r="DE3" s="192">
        <f>BZ3</f>
        <v>0</v>
      </c>
      <c r="DF3" s="192">
        <f>CG3</f>
        <v>0</v>
      </c>
      <c r="DG3" s="192">
        <f>V3</f>
        <v>0</v>
      </c>
      <c r="DH3" s="192">
        <f t="shared" ref="DH3:DH33" si="14">CJ3</f>
        <v>0</v>
      </c>
      <c r="DI3" s="191">
        <f>CZ3-DA3-DB3-DC3-DD3-DE3-DH3-DG3-DF3</f>
        <v>0</v>
      </c>
      <c r="DJ3" s="298">
        <f t="shared" ref="DJ3:DJ33" si="15">DG3+DH3+DI3</f>
        <v>0</v>
      </c>
      <c r="DL3" s="182">
        <f t="shared" ref="DL3:DL32" si="16">+DH3+DI3</f>
        <v>0</v>
      </c>
      <c r="DM3" s="184">
        <f t="shared" ref="DM3:DM33" si="17">+DC3+DD3+DE3</f>
        <v>0</v>
      </c>
    </row>
    <row r="4" spans="1:150" ht="15.6">
      <c r="A4" s="32">
        <f t="shared" ref="A4:A33" si="18">+A3+1</f>
        <v>46144</v>
      </c>
      <c r="B4" s="34"/>
      <c r="C4" s="4"/>
      <c r="D4" s="4">
        <v>62</v>
      </c>
      <c r="E4" s="4"/>
      <c r="F4" s="4">
        <f t="shared" ref="F4:F33" si="19">+B4+C4+D4+E4</f>
        <v>62</v>
      </c>
      <c r="G4" s="4">
        <f t="shared" si="0"/>
        <v>0</v>
      </c>
      <c r="H4" s="4">
        <f t="shared" si="1"/>
        <v>0</v>
      </c>
      <c r="I4" s="4">
        <f t="shared" si="2"/>
        <v>1860</v>
      </c>
      <c r="J4" s="4">
        <f t="shared" si="3"/>
        <v>0</v>
      </c>
      <c r="K4" s="30">
        <f t="shared" si="4"/>
        <v>1860</v>
      </c>
      <c r="L4" s="61">
        <f t="shared" si="5"/>
        <v>689</v>
      </c>
      <c r="M4" s="212">
        <v>2</v>
      </c>
      <c r="N4" s="185">
        <v>9.1999999999999993</v>
      </c>
      <c r="O4" s="185">
        <v>11</v>
      </c>
      <c r="P4" s="185">
        <v>41.5</v>
      </c>
      <c r="Q4" s="185">
        <v>0</v>
      </c>
      <c r="R4" s="185">
        <v>6.9</v>
      </c>
      <c r="S4" s="301">
        <v>0</v>
      </c>
      <c r="T4" s="301">
        <v>0</v>
      </c>
      <c r="U4" s="301">
        <v>0</v>
      </c>
      <c r="V4" s="301">
        <v>0</v>
      </c>
      <c r="W4" s="185">
        <f t="shared" ref="W4:W17" si="20">P4-Q4-R4</f>
        <v>34.6</v>
      </c>
      <c r="X4" s="207">
        <v>0</v>
      </c>
      <c r="Y4" s="207">
        <v>1.8</v>
      </c>
      <c r="Z4" s="207">
        <v>4</v>
      </c>
      <c r="AA4" s="207">
        <v>31</v>
      </c>
      <c r="AB4" s="207">
        <v>1019.1</v>
      </c>
      <c r="AC4" s="207">
        <v>145</v>
      </c>
      <c r="AD4" s="185"/>
      <c r="AE4" s="185"/>
      <c r="AF4" s="185"/>
      <c r="AG4" s="185"/>
      <c r="AH4" s="185"/>
      <c r="AI4" s="185"/>
      <c r="AJ4" s="207"/>
      <c r="AK4" s="207"/>
      <c r="AL4" s="207"/>
      <c r="AM4" s="207"/>
      <c r="AN4" s="282"/>
      <c r="AO4" s="282"/>
      <c r="AP4" s="282">
        <f t="shared" ref="AP4:AP33" si="21">AM4-AN4-AO4</f>
        <v>0</v>
      </c>
      <c r="AQ4" s="282"/>
      <c r="AR4" s="6">
        <v>3</v>
      </c>
      <c r="AS4" s="6">
        <v>257</v>
      </c>
      <c r="AT4" s="6">
        <v>0</v>
      </c>
      <c r="AU4" s="60">
        <v>0</v>
      </c>
      <c r="AV4" s="6">
        <v>16.600000000000001</v>
      </c>
      <c r="AW4" s="62">
        <v>6.49</v>
      </c>
      <c r="AX4" s="62">
        <v>6</v>
      </c>
      <c r="AY4" s="62">
        <v>7</v>
      </c>
      <c r="AZ4" s="94">
        <v>1200</v>
      </c>
      <c r="BA4" s="94">
        <v>600</v>
      </c>
      <c r="BB4" s="95">
        <f t="shared" ref="BB4:BB33" si="22">AZ4-BA4</f>
        <v>600</v>
      </c>
      <c r="BC4" s="124"/>
      <c r="BD4" s="124"/>
      <c r="BE4" s="124"/>
      <c r="BF4" s="124"/>
      <c r="BG4" s="124"/>
      <c r="BH4" s="124"/>
      <c r="BI4" s="124"/>
      <c r="BJ4" s="124"/>
      <c r="BK4" s="124"/>
      <c r="BL4" s="124">
        <f t="shared" ref="BL4:BL33" si="23">BJ4+BK4</f>
        <v>0</v>
      </c>
      <c r="BM4" s="188">
        <f t="shared" si="6"/>
        <v>6.49</v>
      </c>
      <c r="BN4" s="188">
        <f t="shared" si="7"/>
        <v>6</v>
      </c>
      <c r="BO4" s="188">
        <f t="shared" si="8"/>
        <v>7</v>
      </c>
      <c r="BP4" s="188">
        <f t="shared" si="9"/>
        <v>1200</v>
      </c>
      <c r="BQ4" s="188">
        <f t="shared" si="10"/>
        <v>16.600000000000001</v>
      </c>
      <c r="BR4" s="188">
        <f t="shared" ref="BR4:BR33" si="24">BK4+AT4</f>
        <v>0</v>
      </c>
      <c r="BS4" s="188">
        <f t="shared" ref="BS4:BS33" si="25">+BR4+BJ4+AS4</f>
        <v>257</v>
      </c>
      <c r="BT4" s="86">
        <v>1.2</v>
      </c>
      <c r="BU4" s="86">
        <v>100</v>
      </c>
      <c r="BV4" s="86">
        <v>1</v>
      </c>
      <c r="BW4" s="86">
        <v>2</v>
      </c>
      <c r="BX4" s="86">
        <v>20</v>
      </c>
      <c r="BY4" s="86">
        <v>12</v>
      </c>
      <c r="BZ4" s="86">
        <f t="shared" ref="BZ4:BZ33" si="26">+BX4+BY4</f>
        <v>32</v>
      </c>
      <c r="CA4" s="192"/>
      <c r="CB4" s="192"/>
      <c r="CC4" s="192"/>
      <c r="CD4" s="192"/>
      <c r="CE4" s="192"/>
      <c r="CF4" s="192"/>
      <c r="CG4" s="192">
        <f t="shared" ref="CG4:CG33" si="27">+CE4+CF4</f>
        <v>0</v>
      </c>
      <c r="CH4" s="4">
        <f>1037-98</f>
        <v>939</v>
      </c>
      <c r="CI4" s="4">
        <f>311-47</f>
        <v>264</v>
      </c>
      <c r="CJ4" s="55">
        <f t="shared" ref="CJ4:CJ33" si="28">AQ4</f>
        <v>0</v>
      </c>
      <c r="CK4" s="4"/>
      <c r="CL4" s="4">
        <f t="shared" si="11"/>
        <v>145</v>
      </c>
      <c r="CM4" s="22">
        <f t="shared" si="12"/>
        <v>0</v>
      </c>
      <c r="CN4" s="4"/>
      <c r="CO4" s="4">
        <v>200</v>
      </c>
      <c r="CP4" s="4">
        <f t="shared" ref="CP4:CP33" si="29">V4</f>
        <v>0</v>
      </c>
      <c r="CQ4" s="4"/>
      <c r="CR4" s="37">
        <f t="shared" ref="CR4:CR33" si="30">+CH4+CI4+CJ4+CK4+CL4+CM4+CN4+CO4+CP4+CQ4</f>
        <v>1548</v>
      </c>
      <c r="CS4" s="4">
        <v>3000</v>
      </c>
      <c r="CT4" s="181">
        <f>CY3</f>
        <v>237</v>
      </c>
      <c r="CU4" s="180">
        <f t="shared" ref="CU4:CU33" si="31">CS4</f>
        <v>3000</v>
      </c>
      <c r="CV4" s="180">
        <f t="shared" ref="CV4:CV33" si="32">+CT4+CU4</f>
        <v>3237</v>
      </c>
      <c r="CW4" s="181">
        <f t="shared" ref="CW4:CW33" si="33">CR4</f>
        <v>1548</v>
      </c>
      <c r="CX4" s="181"/>
      <c r="CY4" s="181">
        <f t="shared" ref="CY4:CY33" si="34">CV4-CW4-CX4</f>
        <v>1689</v>
      </c>
      <c r="CZ4" s="91">
        <v>1148</v>
      </c>
      <c r="DA4" s="190">
        <f t="shared" ref="DA4:DA33" si="35">CL4</f>
        <v>145</v>
      </c>
      <c r="DB4" s="191">
        <f t="shared" ref="DB4:DB33" si="36">CM4</f>
        <v>0</v>
      </c>
      <c r="DC4" s="190">
        <f t="shared" si="13"/>
        <v>257</v>
      </c>
      <c r="DD4" s="192">
        <f t="shared" ref="DD4:DD33" si="37">BL4</f>
        <v>0</v>
      </c>
      <c r="DE4" s="192">
        <f t="shared" ref="DE4:DE33" si="38">BZ4</f>
        <v>32</v>
      </c>
      <c r="DF4" s="192">
        <f t="shared" ref="DF4:DF33" si="39">CG4</f>
        <v>0</v>
      </c>
      <c r="DG4" s="192">
        <f t="shared" ref="DG4:DG14" si="40">V4</f>
        <v>0</v>
      </c>
      <c r="DH4" s="192">
        <f t="shared" si="14"/>
        <v>0</v>
      </c>
      <c r="DI4" s="191">
        <f t="shared" ref="DI4:DI33" si="41">CZ4-DA4-DB4-DC4-DD4-DE4-DH4-DG4-DF4</f>
        <v>714</v>
      </c>
      <c r="DJ4" s="298">
        <f t="shared" si="15"/>
        <v>714</v>
      </c>
      <c r="DL4" s="182">
        <f t="shared" si="16"/>
        <v>714</v>
      </c>
      <c r="DM4" s="184">
        <f t="shared" si="17"/>
        <v>289</v>
      </c>
    </row>
    <row r="5" spans="1:150" ht="15.6">
      <c r="A5" s="32">
        <f t="shared" si="18"/>
        <v>46145</v>
      </c>
      <c r="B5" s="34"/>
      <c r="C5" s="4"/>
      <c r="D5" s="4"/>
      <c r="E5" s="4"/>
      <c r="F5" s="4">
        <f t="shared" si="19"/>
        <v>0</v>
      </c>
      <c r="G5" s="4">
        <f t="shared" si="0"/>
        <v>0</v>
      </c>
      <c r="H5" s="4">
        <f t="shared" si="1"/>
        <v>0</v>
      </c>
      <c r="I5" s="4">
        <f t="shared" si="2"/>
        <v>0</v>
      </c>
      <c r="J5" s="4">
        <f t="shared" si="3"/>
        <v>0</v>
      </c>
      <c r="K5" s="30">
        <f t="shared" si="4"/>
        <v>0</v>
      </c>
      <c r="L5" s="61">
        <f t="shared" si="5"/>
        <v>0</v>
      </c>
      <c r="M5" s="212"/>
      <c r="N5" s="185"/>
      <c r="O5" s="185"/>
      <c r="P5" s="185"/>
      <c r="Q5" s="185"/>
      <c r="R5" s="185"/>
      <c r="S5" s="301"/>
      <c r="T5" s="301"/>
      <c r="U5" s="301"/>
      <c r="V5" s="301"/>
      <c r="W5" s="185">
        <f t="shared" si="20"/>
        <v>0</v>
      </c>
      <c r="X5" s="207"/>
      <c r="Y5" s="207"/>
      <c r="Z5" s="207"/>
      <c r="AA5" s="207"/>
      <c r="AB5" s="207"/>
      <c r="AC5" s="207"/>
      <c r="AD5" s="185"/>
      <c r="AE5" s="185"/>
      <c r="AF5" s="185"/>
      <c r="AG5" s="185"/>
      <c r="AH5" s="185"/>
      <c r="AI5" s="185"/>
      <c r="AJ5" s="207"/>
      <c r="AK5" s="207"/>
      <c r="AL5" s="207"/>
      <c r="AM5" s="207"/>
      <c r="AN5" s="282"/>
      <c r="AO5" s="282"/>
      <c r="AP5" s="282">
        <f t="shared" si="21"/>
        <v>0</v>
      </c>
      <c r="AQ5" s="282"/>
      <c r="AR5" s="62"/>
      <c r="AS5" s="62"/>
      <c r="AT5" s="62"/>
      <c r="AU5" s="60"/>
      <c r="AV5" s="62"/>
      <c r="AW5" s="62"/>
      <c r="AX5" s="62"/>
      <c r="AY5" s="62"/>
      <c r="AZ5" s="94"/>
      <c r="BA5" s="94"/>
      <c r="BB5" s="95">
        <f t="shared" si="22"/>
        <v>0</v>
      </c>
      <c r="BC5" s="124"/>
      <c r="BD5" s="124"/>
      <c r="BE5" s="124"/>
      <c r="BF5" s="124"/>
      <c r="BG5" s="124"/>
      <c r="BH5" s="124"/>
      <c r="BI5" s="124"/>
      <c r="BJ5" s="124"/>
      <c r="BK5" s="124"/>
      <c r="BL5" s="124">
        <f t="shared" si="23"/>
        <v>0</v>
      </c>
      <c r="BM5" s="188">
        <f t="shared" si="6"/>
        <v>0</v>
      </c>
      <c r="BN5" s="188">
        <f t="shared" si="7"/>
        <v>0</v>
      </c>
      <c r="BO5" s="188">
        <f t="shared" si="8"/>
        <v>0</v>
      </c>
      <c r="BP5" s="188">
        <f t="shared" si="9"/>
        <v>0</v>
      </c>
      <c r="BQ5" s="188">
        <f t="shared" si="10"/>
        <v>0</v>
      </c>
      <c r="BR5" s="188">
        <f t="shared" si="24"/>
        <v>0</v>
      </c>
      <c r="BS5" s="188">
        <f t="shared" si="25"/>
        <v>0</v>
      </c>
      <c r="BT5" s="86"/>
      <c r="BU5" s="86"/>
      <c r="BV5" s="86"/>
      <c r="BW5" s="86"/>
      <c r="BX5" s="86"/>
      <c r="BY5" s="86"/>
      <c r="BZ5" s="86">
        <f t="shared" si="26"/>
        <v>0</v>
      </c>
      <c r="CA5" s="192"/>
      <c r="CB5" s="192"/>
      <c r="CC5" s="192"/>
      <c r="CD5" s="192"/>
      <c r="CE5" s="192"/>
      <c r="CF5" s="192"/>
      <c r="CG5" s="192">
        <f t="shared" si="27"/>
        <v>0</v>
      </c>
      <c r="CH5" s="4"/>
      <c r="CI5" s="4"/>
      <c r="CJ5" s="55">
        <f t="shared" si="28"/>
        <v>0</v>
      </c>
      <c r="CK5" s="4"/>
      <c r="CL5" s="4">
        <f t="shared" si="11"/>
        <v>0</v>
      </c>
      <c r="CM5" s="22">
        <f t="shared" si="12"/>
        <v>0</v>
      </c>
      <c r="CN5" s="4"/>
      <c r="CO5" s="4"/>
      <c r="CP5" s="4">
        <f t="shared" si="29"/>
        <v>0</v>
      </c>
      <c r="CQ5" s="4"/>
      <c r="CR5" s="37">
        <f t="shared" si="30"/>
        <v>0</v>
      </c>
      <c r="CS5" s="4"/>
      <c r="CT5" s="181">
        <f t="shared" ref="CT5:CT33" si="42">CY4</f>
        <v>1689</v>
      </c>
      <c r="CU5" s="180">
        <f t="shared" si="31"/>
        <v>0</v>
      </c>
      <c r="CV5" s="180">
        <f t="shared" si="32"/>
        <v>1689</v>
      </c>
      <c r="CW5" s="181">
        <f t="shared" si="33"/>
        <v>0</v>
      </c>
      <c r="CX5" s="181"/>
      <c r="CY5" s="181">
        <f t="shared" si="34"/>
        <v>1689</v>
      </c>
      <c r="CZ5" s="91"/>
      <c r="DA5" s="190">
        <f t="shared" si="35"/>
        <v>0</v>
      </c>
      <c r="DB5" s="191">
        <f t="shared" si="36"/>
        <v>0</v>
      </c>
      <c r="DC5" s="190">
        <f t="shared" si="13"/>
        <v>0</v>
      </c>
      <c r="DD5" s="192">
        <f t="shared" si="37"/>
        <v>0</v>
      </c>
      <c r="DE5" s="192">
        <f t="shared" si="38"/>
        <v>0</v>
      </c>
      <c r="DF5" s="192">
        <f t="shared" si="39"/>
        <v>0</v>
      </c>
      <c r="DG5" s="192">
        <f t="shared" si="40"/>
        <v>0</v>
      </c>
      <c r="DH5" s="192">
        <f t="shared" si="14"/>
        <v>0</v>
      </c>
      <c r="DI5" s="191">
        <f t="shared" si="41"/>
        <v>0</v>
      </c>
      <c r="DJ5" s="298">
        <f t="shared" si="15"/>
        <v>0</v>
      </c>
      <c r="DK5" s="71"/>
      <c r="DL5" s="182">
        <f t="shared" si="16"/>
        <v>0</v>
      </c>
      <c r="DM5" s="184">
        <f t="shared" si="17"/>
        <v>0</v>
      </c>
    </row>
    <row r="6" spans="1:150" ht="15.6">
      <c r="A6" s="32">
        <f t="shared" si="18"/>
        <v>46146</v>
      </c>
      <c r="B6" s="34">
        <v>23</v>
      </c>
      <c r="C6" s="30">
        <v>6</v>
      </c>
      <c r="D6" s="4">
        <v>53</v>
      </c>
      <c r="E6" s="4"/>
      <c r="F6" s="4">
        <f t="shared" si="19"/>
        <v>82</v>
      </c>
      <c r="G6" s="4">
        <f t="shared" si="0"/>
        <v>690</v>
      </c>
      <c r="H6" s="4">
        <f t="shared" si="1"/>
        <v>180</v>
      </c>
      <c r="I6" s="4">
        <f t="shared" si="2"/>
        <v>1590</v>
      </c>
      <c r="J6" s="4">
        <f t="shared" si="3"/>
        <v>0</v>
      </c>
      <c r="K6" s="30">
        <f t="shared" si="4"/>
        <v>2460</v>
      </c>
      <c r="L6" s="61">
        <f t="shared" si="5"/>
        <v>912</v>
      </c>
      <c r="M6" s="213">
        <v>3</v>
      </c>
      <c r="N6" s="185">
        <v>13.6</v>
      </c>
      <c r="O6" s="185">
        <v>20</v>
      </c>
      <c r="P6" s="185">
        <v>93.85</v>
      </c>
      <c r="Q6" s="185">
        <v>15</v>
      </c>
      <c r="R6" s="185">
        <v>18.95</v>
      </c>
      <c r="S6" s="301">
        <v>2.4</v>
      </c>
      <c r="T6" s="301">
        <v>14</v>
      </c>
      <c r="U6" s="301">
        <v>8</v>
      </c>
      <c r="V6" s="301">
        <v>518</v>
      </c>
      <c r="W6" s="185">
        <f t="shared" si="20"/>
        <v>59.899999999999991</v>
      </c>
      <c r="X6" s="207">
        <v>1</v>
      </c>
      <c r="Y6" s="207">
        <v>5.5</v>
      </c>
      <c r="Z6" s="207">
        <v>6</v>
      </c>
      <c r="AA6" s="207">
        <v>59</v>
      </c>
      <c r="AB6" s="207">
        <v>1945.3999999999999</v>
      </c>
      <c r="AC6" s="207">
        <v>270</v>
      </c>
      <c r="AD6" s="185">
        <v>3</v>
      </c>
      <c r="AE6" s="185">
        <v>1.5</v>
      </c>
      <c r="AF6" s="185">
        <v>5</v>
      </c>
      <c r="AG6" s="185">
        <v>52</v>
      </c>
      <c r="AH6" s="185">
        <f>AG6*29</f>
        <v>1508</v>
      </c>
      <c r="AI6" s="185">
        <v>205</v>
      </c>
      <c r="AJ6" s="207">
        <v>2</v>
      </c>
      <c r="AK6" s="207">
        <v>2.1</v>
      </c>
      <c r="AL6" s="207">
        <v>19</v>
      </c>
      <c r="AM6" s="207">
        <v>32</v>
      </c>
      <c r="AN6" s="282">
        <v>0</v>
      </c>
      <c r="AO6" s="282">
        <v>32</v>
      </c>
      <c r="AP6" s="282">
        <v>0</v>
      </c>
      <c r="AQ6" s="282">
        <v>300</v>
      </c>
      <c r="AR6" s="62">
        <v>3</v>
      </c>
      <c r="AS6" s="62">
        <v>184</v>
      </c>
      <c r="AT6" s="62">
        <v>171</v>
      </c>
      <c r="AU6" s="315">
        <v>6.06</v>
      </c>
      <c r="AV6" s="62">
        <v>11.8</v>
      </c>
      <c r="AW6" s="62">
        <v>7.29</v>
      </c>
      <c r="AX6" s="62">
        <v>8</v>
      </c>
      <c r="AY6" s="62">
        <v>8</v>
      </c>
      <c r="AZ6" s="94">
        <v>1300</v>
      </c>
      <c r="BA6" s="94">
        <v>650</v>
      </c>
      <c r="BB6" s="95">
        <f t="shared" si="22"/>
        <v>650</v>
      </c>
      <c r="BC6" s="124"/>
      <c r="BD6" s="124"/>
      <c r="BE6" s="124"/>
      <c r="BF6" s="124"/>
      <c r="BG6" s="124"/>
      <c r="BH6" s="124"/>
      <c r="BI6" s="124"/>
      <c r="BJ6" s="124"/>
      <c r="BK6" s="124"/>
      <c r="BL6" s="124">
        <f t="shared" si="23"/>
        <v>0</v>
      </c>
      <c r="BM6" s="188">
        <f t="shared" si="6"/>
        <v>7.29</v>
      </c>
      <c r="BN6" s="188">
        <f t="shared" si="7"/>
        <v>8</v>
      </c>
      <c r="BO6" s="188">
        <f t="shared" si="8"/>
        <v>8</v>
      </c>
      <c r="BP6" s="188">
        <f t="shared" si="9"/>
        <v>1300</v>
      </c>
      <c r="BQ6" s="188">
        <f t="shared" si="10"/>
        <v>11.8</v>
      </c>
      <c r="BR6" s="188">
        <f t="shared" si="24"/>
        <v>171</v>
      </c>
      <c r="BS6" s="188">
        <f t="shared" si="25"/>
        <v>355</v>
      </c>
      <c r="BT6" s="86">
        <v>4.3</v>
      </c>
      <c r="BU6" s="86">
        <v>500</v>
      </c>
      <c r="BV6" s="86">
        <v>2</v>
      </c>
      <c r="BW6" s="86">
        <v>6.1</v>
      </c>
      <c r="BX6" s="86">
        <v>68</v>
      </c>
      <c r="BY6" s="86">
        <v>43</v>
      </c>
      <c r="BZ6" s="86">
        <f t="shared" si="26"/>
        <v>111</v>
      </c>
      <c r="CA6" s="192"/>
      <c r="CB6" s="192"/>
      <c r="CC6" s="192"/>
      <c r="CD6" s="192"/>
      <c r="CE6" s="192"/>
      <c r="CF6" s="192"/>
      <c r="CG6" s="192">
        <f t="shared" si="27"/>
        <v>0</v>
      </c>
      <c r="CH6" s="4">
        <f>1100-347</f>
        <v>753</v>
      </c>
      <c r="CI6" s="4">
        <f>373-128</f>
        <v>245</v>
      </c>
      <c r="CJ6" s="55">
        <f t="shared" si="28"/>
        <v>300</v>
      </c>
      <c r="CK6" s="4">
        <v>240</v>
      </c>
      <c r="CL6" s="4">
        <f t="shared" si="11"/>
        <v>270</v>
      </c>
      <c r="CM6" s="22">
        <f t="shared" si="12"/>
        <v>205</v>
      </c>
      <c r="CN6" s="4">
        <v>0</v>
      </c>
      <c r="CO6" s="4">
        <v>100</v>
      </c>
      <c r="CP6" s="4">
        <f t="shared" si="29"/>
        <v>518</v>
      </c>
      <c r="CQ6" s="4"/>
      <c r="CR6" s="37">
        <f t="shared" si="30"/>
        <v>2631</v>
      </c>
      <c r="CS6" s="4">
        <v>2500</v>
      </c>
      <c r="CT6" s="181">
        <f t="shared" si="42"/>
        <v>1689</v>
      </c>
      <c r="CU6" s="180">
        <f t="shared" si="31"/>
        <v>2500</v>
      </c>
      <c r="CV6" s="180">
        <f t="shared" si="32"/>
        <v>4189</v>
      </c>
      <c r="CW6" s="181">
        <f t="shared" si="33"/>
        <v>2631</v>
      </c>
      <c r="CX6" s="181"/>
      <c r="CY6" s="181">
        <f t="shared" si="34"/>
        <v>1558</v>
      </c>
      <c r="CZ6" s="91">
        <v>2882</v>
      </c>
      <c r="DA6" s="190">
        <f t="shared" si="35"/>
        <v>270</v>
      </c>
      <c r="DB6" s="191">
        <f t="shared" si="36"/>
        <v>205</v>
      </c>
      <c r="DC6" s="190">
        <f t="shared" si="13"/>
        <v>355</v>
      </c>
      <c r="DD6" s="192">
        <f t="shared" si="37"/>
        <v>0</v>
      </c>
      <c r="DE6" s="192">
        <f t="shared" si="38"/>
        <v>111</v>
      </c>
      <c r="DF6" s="192">
        <f t="shared" si="39"/>
        <v>0</v>
      </c>
      <c r="DG6" s="192">
        <f t="shared" si="40"/>
        <v>518</v>
      </c>
      <c r="DH6" s="192">
        <f t="shared" si="14"/>
        <v>300</v>
      </c>
      <c r="DI6" s="191">
        <f t="shared" si="41"/>
        <v>1123</v>
      </c>
      <c r="DJ6" s="298">
        <f t="shared" si="15"/>
        <v>1941</v>
      </c>
      <c r="DK6" s="70">
        <v>6789</v>
      </c>
      <c r="DL6" s="182">
        <f t="shared" si="16"/>
        <v>1423</v>
      </c>
      <c r="DM6" s="184">
        <f t="shared" si="17"/>
        <v>466</v>
      </c>
    </row>
    <row r="7" spans="1:150" ht="15.6">
      <c r="A7" s="32">
        <f t="shared" si="18"/>
        <v>46147</v>
      </c>
      <c r="B7" s="34">
        <v>28</v>
      </c>
      <c r="C7" s="4">
        <v>43</v>
      </c>
      <c r="D7" s="12">
        <v>120</v>
      </c>
      <c r="E7" s="4"/>
      <c r="F7" s="4">
        <f t="shared" si="19"/>
        <v>191</v>
      </c>
      <c r="G7" s="4">
        <f t="shared" si="0"/>
        <v>840</v>
      </c>
      <c r="H7" s="4">
        <f t="shared" si="1"/>
        <v>1290</v>
      </c>
      <c r="I7" s="4">
        <f t="shared" si="2"/>
        <v>3600</v>
      </c>
      <c r="J7" s="4">
        <f t="shared" si="3"/>
        <v>0</v>
      </c>
      <c r="K7" s="30">
        <f t="shared" si="4"/>
        <v>5730</v>
      </c>
      <c r="L7" s="61">
        <f t="shared" si="5"/>
        <v>2123</v>
      </c>
      <c r="M7" s="213">
        <v>3</v>
      </c>
      <c r="N7" s="185">
        <v>26.3</v>
      </c>
      <c r="O7" s="185">
        <v>17</v>
      </c>
      <c r="P7" s="185">
        <v>104.8</v>
      </c>
      <c r="Q7" s="185">
        <v>0</v>
      </c>
      <c r="R7" s="185">
        <v>0</v>
      </c>
      <c r="S7" s="301">
        <v>6.7</v>
      </c>
      <c r="T7" s="301">
        <v>56</v>
      </c>
      <c r="U7" s="301">
        <v>23.9</v>
      </c>
      <c r="V7" s="301">
        <v>250</v>
      </c>
      <c r="W7" s="185">
        <f t="shared" si="20"/>
        <v>104.8</v>
      </c>
      <c r="X7" s="207">
        <v>0</v>
      </c>
      <c r="Y7" s="207">
        <v>0</v>
      </c>
      <c r="Z7" s="207">
        <v>0</v>
      </c>
      <c r="AA7" s="207">
        <v>0</v>
      </c>
      <c r="AB7" s="207">
        <v>0</v>
      </c>
      <c r="AC7" s="207">
        <v>0</v>
      </c>
      <c r="AD7" s="185"/>
      <c r="AE7" s="185"/>
      <c r="AF7" s="185"/>
      <c r="AG7" s="185"/>
      <c r="AH7" s="185"/>
      <c r="AI7" s="185"/>
      <c r="AJ7" s="207">
        <v>2</v>
      </c>
      <c r="AK7" s="207">
        <v>7.9</v>
      </c>
      <c r="AL7" s="207">
        <v>27</v>
      </c>
      <c r="AM7" s="207">
        <v>131.6</v>
      </c>
      <c r="AN7" s="282">
        <v>0</v>
      </c>
      <c r="AO7" s="282">
        <v>131.6</v>
      </c>
      <c r="AP7" s="282">
        <f t="shared" si="21"/>
        <v>0</v>
      </c>
      <c r="AQ7" s="282"/>
      <c r="AR7" s="62">
        <v>2</v>
      </c>
      <c r="AS7" s="62">
        <v>289</v>
      </c>
      <c r="AT7" s="62">
        <v>29</v>
      </c>
      <c r="AU7" s="60">
        <v>0.16</v>
      </c>
      <c r="AV7" s="62">
        <v>16.8</v>
      </c>
      <c r="AW7" s="62">
        <v>7.2</v>
      </c>
      <c r="AX7" s="62">
        <v>8</v>
      </c>
      <c r="AY7" s="62">
        <v>8</v>
      </c>
      <c r="AZ7" s="94">
        <v>1200</v>
      </c>
      <c r="BA7" s="94">
        <v>600</v>
      </c>
      <c r="BB7" s="95">
        <f t="shared" si="22"/>
        <v>600</v>
      </c>
      <c r="BC7" s="124"/>
      <c r="BD7" s="124"/>
      <c r="BE7" s="124"/>
      <c r="BF7" s="124"/>
      <c r="BG7" s="124"/>
      <c r="BH7" s="124"/>
      <c r="BI7" s="124"/>
      <c r="BJ7" s="124"/>
      <c r="BK7" s="124"/>
      <c r="BL7" s="124">
        <f t="shared" si="23"/>
        <v>0</v>
      </c>
      <c r="BM7" s="188">
        <f t="shared" si="6"/>
        <v>7.2</v>
      </c>
      <c r="BN7" s="188">
        <f t="shared" si="7"/>
        <v>8</v>
      </c>
      <c r="BO7" s="188">
        <f t="shared" si="8"/>
        <v>8</v>
      </c>
      <c r="BP7" s="188">
        <f t="shared" si="9"/>
        <v>1200</v>
      </c>
      <c r="BQ7" s="188">
        <f t="shared" si="10"/>
        <v>16.8</v>
      </c>
      <c r="BR7" s="188">
        <f t="shared" si="24"/>
        <v>29</v>
      </c>
      <c r="BS7" s="188">
        <f t="shared" si="25"/>
        <v>318</v>
      </c>
      <c r="BT7" s="86">
        <v>5.4</v>
      </c>
      <c r="BU7" s="86">
        <v>600</v>
      </c>
      <c r="BV7" s="86">
        <v>2</v>
      </c>
      <c r="BW7" s="86">
        <v>11.9</v>
      </c>
      <c r="BX7" s="86">
        <v>163</v>
      </c>
      <c r="BY7" s="86">
        <v>80</v>
      </c>
      <c r="BZ7" s="86">
        <f t="shared" si="26"/>
        <v>243</v>
      </c>
      <c r="CA7" s="192"/>
      <c r="CB7" s="192"/>
      <c r="CC7" s="192"/>
      <c r="CD7" s="192"/>
      <c r="CE7" s="192"/>
      <c r="CF7" s="192"/>
      <c r="CG7" s="192">
        <f t="shared" si="27"/>
        <v>0</v>
      </c>
      <c r="CH7" s="4">
        <v>1440</v>
      </c>
      <c r="CI7" s="22">
        <v>567</v>
      </c>
      <c r="CJ7" s="55">
        <f t="shared" si="28"/>
        <v>0</v>
      </c>
      <c r="CK7" s="4">
        <v>191</v>
      </c>
      <c r="CL7" s="4">
        <f t="shared" si="11"/>
        <v>0</v>
      </c>
      <c r="CM7" s="22">
        <f t="shared" si="12"/>
        <v>0</v>
      </c>
      <c r="CN7" s="4"/>
      <c r="CO7" s="4"/>
      <c r="CP7" s="4">
        <f t="shared" si="29"/>
        <v>250</v>
      </c>
      <c r="CQ7" s="4"/>
      <c r="CR7" s="37">
        <f t="shared" si="30"/>
        <v>2448</v>
      </c>
      <c r="CS7" s="4">
        <v>1500</v>
      </c>
      <c r="CT7" s="181">
        <f t="shared" si="42"/>
        <v>1558</v>
      </c>
      <c r="CU7" s="180">
        <f t="shared" si="31"/>
        <v>1500</v>
      </c>
      <c r="CV7" s="180">
        <f t="shared" si="32"/>
        <v>3058</v>
      </c>
      <c r="CW7" s="181">
        <f t="shared" si="33"/>
        <v>2448</v>
      </c>
      <c r="CX7" s="181"/>
      <c r="CY7" s="181">
        <f t="shared" si="34"/>
        <v>610</v>
      </c>
      <c r="CZ7" s="91">
        <v>2498</v>
      </c>
      <c r="DA7" s="190">
        <f t="shared" si="35"/>
        <v>0</v>
      </c>
      <c r="DB7" s="191">
        <f t="shared" si="36"/>
        <v>0</v>
      </c>
      <c r="DC7" s="190">
        <f t="shared" si="13"/>
        <v>318</v>
      </c>
      <c r="DD7" s="192">
        <f t="shared" si="37"/>
        <v>0</v>
      </c>
      <c r="DE7" s="192">
        <f t="shared" si="38"/>
        <v>243</v>
      </c>
      <c r="DF7" s="192">
        <f t="shared" si="39"/>
        <v>0</v>
      </c>
      <c r="DG7" s="192">
        <f t="shared" si="40"/>
        <v>250</v>
      </c>
      <c r="DH7" s="192">
        <f t="shared" si="14"/>
        <v>0</v>
      </c>
      <c r="DI7" s="191">
        <f t="shared" si="41"/>
        <v>1687</v>
      </c>
      <c r="DJ7" s="298">
        <f t="shared" si="15"/>
        <v>1937</v>
      </c>
      <c r="DK7" s="70">
        <v>6739</v>
      </c>
      <c r="DL7" s="182">
        <f t="shared" si="16"/>
        <v>1687</v>
      </c>
      <c r="DM7" s="184">
        <f t="shared" si="17"/>
        <v>561</v>
      </c>
    </row>
    <row r="8" spans="1:150" ht="15.6">
      <c r="A8" s="32">
        <f t="shared" si="18"/>
        <v>46148</v>
      </c>
      <c r="B8" s="34"/>
      <c r="C8" s="4">
        <v>93</v>
      </c>
      <c r="D8" s="4">
        <v>41</v>
      </c>
      <c r="E8" s="4"/>
      <c r="F8" s="4">
        <f t="shared" si="19"/>
        <v>134</v>
      </c>
      <c r="G8" s="4">
        <f t="shared" si="0"/>
        <v>0</v>
      </c>
      <c r="H8" s="4">
        <f t="shared" si="1"/>
        <v>2790</v>
      </c>
      <c r="I8" s="4">
        <f t="shared" si="2"/>
        <v>1230</v>
      </c>
      <c r="J8" s="4">
        <f t="shared" si="3"/>
        <v>0</v>
      </c>
      <c r="K8" s="30">
        <f t="shared" si="4"/>
        <v>4020</v>
      </c>
      <c r="L8" s="61">
        <f t="shared" si="5"/>
        <v>1489</v>
      </c>
      <c r="M8" s="213">
        <v>3</v>
      </c>
      <c r="N8" s="214">
        <v>23.2</v>
      </c>
      <c r="O8" s="215">
        <v>17</v>
      </c>
      <c r="P8" s="214">
        <v>120.9</v>
      </c>
      <c r="Q8" s="214">
        <v>24.1</v>
      </c>
      <c r="R8" s="214">
        <v>0</v>
      </c>
      <c r="S8" s="302">
        <v>6.7</v>
      </c>
      <c r="T8" s="302">
        <v>51</v>
      </c>
      <c r="U8" s="302">
        <v>23.2</v>
      </c>
      <c r="V8" s="302">
        <v>510</v>
      </c>
      <c r="W8" s="185">
        <f t="shared" si="20"/>
        <v>96.800000000000011</v>
      </c>
      <c r="X8" s="207">
        <v>0</v>
      </c>
      <c r="Y8" s="207">
        <v>0</v>
      </c>
      <c r="Z8" s="207">
        <v>0</v>
      </c>
      <c r="AA8" s="207">
        <v>0</v>
      </c>
      <c r="AB8" s="207">
        <v>0</v>
      </c>
      <c r="AC8" s="207">
        <v>0</v>
      </c>
      <c r="AD8" s="185">
        <v>2</v>
      </c>
      <c r="AE8" s="185">
        <v>11.5</v>
      </c>
      <c r="AF8" s="185">
        <v>6</v>
      </c>
      <c r="AG8" s="185">
        <v>68</v>
      </c>
      <c r="AH8" s="185">
        <f>AG8*29</f>
        <v>1972</v>
      </c>
      <c r="AI8" s="185">
        <v>340</v>
      </c>
      <c r="AJ8" s="207">
        <v>2</v>
      </c>
      <c r="AK8" s="207">
        <v>13.2</v>
      </c>
      <c r="AL8" s="207">
        <v>36</v>
      </c>
      <c r="AM8" s="207">
        <v>223.3</v>
      </c>
      <c r="AN8" s="282">
        <v>0</v>
      </c>
      <c r="AO8" s="282">
        <v>223.3</v>
      </c>
      <c r="AP8" s="282">
        <f t="shared" si="21"/>
        <v>0</v>
      </c>
      <c r="AQ8" s="282">
        <v>528</v>
      </c>
      <c r="AR8" s="62">
        <v>3</v>
      </c>
      <c r="AS8" s="62">
        <v>395</v>
      </c>
      <c r="AT8" s="62">
        <v>0</v>
      </c>
      <c r="AU8" s="60">
        <v>0</v>
      </c>
      <c r="AV8" s="62">
        <v>24.6</v>
      </c>
      <c r="AW8" s="62">
        <v>10.62</v>
      </c>
      <c r="AX8" s="62">
        <v>11</v>
      </c>
      <c r="AY8" s="62">
        <v>11</v>
      </c>
      <c r="AZ8" s="94">
        <v>1600</v>
      </c>
      <c r="BA8" s="94">
        <v>800</v>
      </c>
      <c r="BB8" s="95">
        <f t="shared" si="22"/>
        <v>800</v>
      </c>
      <c r="BC8" s="124"/>
      <c r="BD8" s="124"/>
      <c r="BE8" s="124"/>
      <c r="BF8" s="124"/>
      <c r="BG8" s="124"/>
      <c r="BH8" s="124"/>
      <c r="BI8" s="124"/>
      <c r="BJ8" s="124"/>
      <c r="BK8" s="124"/>
      <c r="BL8" s="124">
        <f t="shared" si="23"/>
        <v>0</v>
      </c>
      <c r="BM8" s="188">
        <f t="shared" si="6"/>
        <v>10.62</v>
      </c>
      <c r="BN8" s="188">
        <f t="shared" si="7"/>
        <v>11</v>
      </c>
      <c r="BO8" s="188">
        <f t="shared" si="8"/>
        <v>11</v>
      </c>
      <c r="BP8" s="188">
        <f t="shared" si="9"/>
        <v>1600</v>
      </c>
      <c r="BQ8" s="188">
        <f t="shared" si="10"/>
        <v>24.6</v>
      </c>
      <c r="BR8" s="188">
        <f t="shared" si="24"/>
        <v>0</v>
      </c>
      <c r="BS8" s="188">
        <f t="shared" si="25"/>
        <v>395</v>
      </c>
      <c r="BT8" s="86">
        <v>9.5</v>
      </c>
      <c r="BU8" s="86">
        <v>900</v>
      </c>
      <c r="BV8" s="86">
        <v>2</v>
      </c>
      <c r="BW8" s="86">
        <v>15.9</v>
      </c>
      <c r="BX8" s="86">
        <v>218</v>
      </c>
      <c r="BY8" s="86">
        <v>115</v>
      </c>
      <c r="BZ8" s="86">
        <f t="shared" si="26"/>
        <v>333</v>
      </c>
      <c r="CA8" s="192"/>
      <c r="CB8" s="192"/>
      <c r="CC8" s="192"/>
      <c r="CD8" s="192"/>
      <c r="CE8" s="192"/>
      <c r="CF8" s="192"/>
      <c r="CG8" s="192">
        <f t="shared" si="27"/>
        <v>0</v>
      </c>
      <c r="CH8" s="4">
        <f>1630-340</f>
        <v>1290</v>
      </c>
      <c r="CI8" s="4">
        <v>425</v>
      </c>
      <c r="CJ8" s="55">
        <f t="shared" si="28"/>
        <v>528</v>
      </c>
      <c r="CK8" s="4">
        <v>105</v>
      </c>
      <c r="CL8" s="4">
        <f t="shared" si="11"/>
        <v>0</v>
      </c>
      <c r="CM8" s="22">
        <f t="shared" si="12"/>
        <v>340</v>
      </c>
      <c r="CN8" s="4">
        <v>0</v>
      </c>
      <c r="CO8" s="4">
        <v>400</v>
      </c>
      <c r="CP8" s="4">
        <f t="shared" si="29"/>
        <v>510</v>
      </c>
      <c r="CQ8" s="4"/>
      <c r="CR8" s="37">
        <f t="shared" si="30"/>
        <v>3598</v>
      </c>
      <c r="CS8" s="4">
        <v>3000</v>
      </c>
      <c r="CT8" s="181">
        <f t="shared" si="42"/>
        <v>610</v>
      </c>
      <c r="CU8" s="180">
        <f t="shared" si="31"/>
        <v>3000</v>
      </c>
      <c r="CV8" s="180">
        <f t="shared" si="32"/>
        <v>3610</v>
      </c>
      <c r="CW8" s="181">
        <f t="shared" si="33"/>
        <v>3598</v>
      </c>
      <c r="CX8" s="181"/>
      <c r="CY8" s="181">
        <f t="shared" si="34"/>
        <v>12</v>
      </c>
      <c r="CZ8" s="91">
        <v>3474</v>
      </c>
      <c r="DA8" s="190">
        <f t="shared" si="35"/>
        <v>0</v>
      </c>
      <c r="DB8" s="191">
        <f t="shared" si="36"/>
        <v>340</v>
      </c>
      <c r="DC8" s="190">
        <f t="shared" si="13"/>
        <v>395</v>
      </c>
      <c r="DD8" s="192">
        <f t="shared" si="37"/>
        <v>0</v>
      </c>
      <c r="DE8" s="192">
        <f t="shared" si="38"/>
        <v>333</v>
      </c>
      <c r="DF8" s="192">
        <f t="shared" si="39"/>
        <v>0</v>
      </c>
      <c r="DG8" s="192">
        <f t="shared" si="40"/>
        <v>510</v>
      </c>
      <c r="DH8" s="192">
        <f t="shared" si="14"/>
        <v>528</v>
      </c>
      <c r="DI8" s="191">
        <f t="shared" si="41"/>
        <v>1368</v>
      </c>
      <c r="DJ8" s="298">
        <f t="shared" si="15"/>
        <v>2406</v>
      </c>
      <c r="DK8" s="70">
        <v>6863</v>
      </c>
      <c r="DL8" s="182">
        <f t="shared" si="16"/>
        <v>1896</v>
      </c>
      <c r="DM8" s="184">
        <f t="shared" si="17"/>
        <v>728</v>
      </c>
      <c r="DN8">
        <v>5611</v>
      </c>
    </row>
    <row r="9" spans="1:150" ht="15.6">
      <c r="A9" s="32">
        <f t="shared" si="18"/>
        <v>46149</v>
      </c>
      <c r="B9" s="34"/>
      <c r="C9" s="4">
        <v>20</v>
      </c>
      <c r="D9" s="4">
        <v>30</v>
      </c>
      <c r="E9" s="4"/>
      <c r="F9" s="4">
        <f t="shared" si="19"/>
        <v>50</v>
      </c>
      <c r="G9" s="4">
        <f t="shared" si="0"/>
        <v>0</v>
      </c>
      <c r="H9" s="4">
        <f t="shared" si="1"/>
        <v>600</v>
      </c>
      <c r="I9" s="4">
        <f t="shared" si="2"/>
        <v>900</v>
      </c>
      <c r="J9" s="4">
        <f t="shared" si="3"/>
        <v>0</v>
      </c>
      <c r="K9" s="30">
        <f t="shared" si="4"/>
        <v>1500</v>
      </c>
      <c r="L9" s="61">
        <f t="shared" si="5"/>
        <v>556</v>
      </c>
      <c r="M9" s="213">
        <v>2</v>
      </c>
      <c r="N9" s="185">
        <v>7.5</v>
      </c>
      <c r="O9" s="185">
        <v>13</v>
      </c>
      <c r="P9" s="185">
        <v>76.3</v>
      </c>
      <c r="Q9" s="185">
        <v>25.5</v>
      </c>
      <c r="R9" s="185">
        <v>26.8</v>
      </c>
      <c r="S9" s="301">
        <v>5.4</v>
      </c>
      <c r="T9" s="301">
        <v>39</v>
      </c>
      <c r="U9" s="301">
        <v>14.4</v>
      </c>
      <c r="V9" s="301">
        <v>330</v>
      </c>
      <c r="W9" s="185">
        <f t="shared" si="20"/>
        <v>23.999999999999996</v>
      </c>
      <c r="X9" s="207">
        <v>4.3</v>
      </c>
      <c r="Y9" s="207">
        <v>5.4</v>
      </c>
      <c r="Z9" s="207">
        <v>7</v>
      </c>
      <c r="AA9" s="207">
        <v>89</v>
      </c>
      <c r="AB9" s="207">
        <v>2661.42</v>
      </c>
      <c r="AC9" s="207">
        <v>450</v>
      </c>
      <c r="AD9" s="185">
        <v>6.8</v>
      </c>
      <c r="AE9" s="185">
        <v>0.4</v>
      </c>
      <c r="AF9" s="185">
        <v>9</v>
      </c>
      <c r="AG9" s="185">
        <v>67</v>
      </c>
      <c r="AH9" s="185">
        <f>AG9*29</f>
        <v>1943</v>
      </c>
      <c r="AI9" s="185">
        <v>350</v>
      </c>
      <c r="AJ9" s="207">
        <v>2</v>
      </c>
      <c r="AK9" s="207">
        <v>11.9</v>
      </c>
      <c r="AL9" s="207">
        <v>28</v>
      </c>
      <c r="AM9" s="207">
        <v>190.2</v>
      </c>
      <c r="AN9" s="282">
        <v>0</v>
      </c>
      <c r="AO9" s="282">
        <v>190.2</v>
      </c>
      <c r="AP9" s="282">
        <f t="shared" si="21"/>
        <v>0</v>
      </c>
      <c r="AQ9" s="282">
        <v>568</v>
      </c>
      <c r="AR9" s="62">
        <v>2</v>
      </c>
      <c r="AS9" s="62">
        <v>221</v>
      </c>
      <c r="AT9" s="62">
        <v>0</v>
      </c>
      <c r="AU9" s="60">
        <v>0</v>
      </c>
      <c r="AV9" s="62">
        <v>14.1</v>
      </c>
      <c r="AW9" s="62">
        <v>11.82</v>
      </c>
      <c r="AX9" s="62">
        <v>12</v>
      </c>
      <c r="AY9" s="62">
        <v>12</v>
      </c>
      <c r="AZ9" s="94">
        <v>3000</v>
      </c>
      <c r="BA9" s="94">
        <v>1500</v>
      </c>
      <c r="BB9" s="95">
        <f t="shared" si="22"/>
        <v>1500</v>
      </c>
      <c r="BC9" s="124"/>
      <c r="BD9" s="124"/>
      <c r="BE9" s="124"/>
      <c r="BF9" s="124"/>
      <c r="BG9" s="124"/>
      <c r="BH9" s="124"/>
      <c r="BI9" s="124"/>
      <c r="BJ9" s="124"/>
      <c r="BK9" s="124"/>
      <c r="BL9" s="124">
        <f t="shared" si="23"/>
        <v>0</v>
      </c>
      <c r="BM9" s="188">
        <f t="shared" si="6"/>
        <v>11.82</v>
      </c>
      <c r="BN9" s="188">
        <f t="shared" si="7"/>
        <v>12</v>
      </c>
      <c r="BO9" s="188">
        <f t="shared" si="8"/>
        <v>12</v>
      </c>
      <c r="BP9" s="188">
        <f t="shared" si="9"/>
        <v>3000</v>
      </c>
      <c r="BQ9" s="188">
        <f t="shared" si="10"/>
        <v>14.1</v>
      </c>
      <c r="BR9" s="188">
        <f t="shared" si="24"/>
        <v>0</v>
      </c>
      <c r="BS9" s="188">
        <f t="shared" si="25"/>
        <v>221</v>
      </c>
      <c r="BT9" s="86">
        <v>3.1</v>
      </c>
      <c r="BU9" s="86">
        <v>300</v>
      </c>
      <c r="BV9" s="86">
        <v>2</v>
      </c>
      <c r="BW9" s="86">
        <v>10.5</v>
      </c>
      <c r="BX9" s="86">
        <v>160</v>
      </c>
      <c r="BY9" s="86">
        <v>30</v>
      </c>
      <c r="BZ9" s="86">
        <f t="shared" si="26"/>
        <v>190</v>
      </c>
      <c r="CA9" s="192"/>
      <c r="CB9" s="192"/>
      <c r="CC9" s="192"/>
      <c r="CD9" s="192"/>
      <c r="CE9" s="192"/>
      <c r="CF9" s="192"/>
      <c r="CG9" s="192">
        <f t="shared" si="27"/>
        <v>0</v>
      </c>
      <c r="CH9" s="4">
        <f>1560-515</f>
        <v>1045</v>
      </c>
      <c r="CI9" s="4">
        <v>400</v>
      </c>
      <c r="CJ9" s="55">
        <f t="shared" si="28"/>
        <v>568</v>
      </c>
      <c r="CK9" s="4">
        <v>145</v>
      </c>
      <c r="CL9" s="4">
        <f t="shared" si="11"/>
        <v>450</v>
      </c>
      <c r="CM9" s="22">
        <f t="shared" si="12"/>
        <v>350</v>
      </c>
      <c r="CN9" s="4">
        <v>0</v>
      </c>
      <c r="CO9" s="4">
        <v>106</v>
      </c>
      <c r="CP9" s="4">
        <f t="shared" si="29"/>
        <v>330</v>
      </c>
      <c r="CQ9" s="4"/>
      <c r="CR9" s="37">
        <f t="shared" si="30"/>
        <v>3394</v>
      </c>
      <c r="CS9" s="4">
        <v>3500</v>
      </c>
      <c r="CT9" s="181">
        <f t="shared" si="42"/>
        <v>12</v>
      </c>
      <c r="CU9" s="180">
        <f t="shared" si="31"/>
        <v>3500</v>
      </c>
      <c r="CV9" s="180">
        <f t="shared" si="32"/>
        <v>3512</v>
      </c>
      <c r="CW9" s="181">
        <f t="shared" si="33"/>
        <v>3394</v>
      </c>
      <c r="CX9" s="181"/>
      <c r="CY9" s="181">
        <f t="shared" si="34"/>
        <v>118</v>
      </c>
      <c r="CZ9" s="91">
        <v>2710</v>
      </c>
      <c r="DA9" s="190">
        <f t="shared" si="35"/>
        <v>450</v>
      </c>
      <c r="DB9" s="191">
        <f t="shared" si="36"/>
        <v>350</v>
      </c>
      <c r="DC9" s="190">
        <f t="shared" si="13"/>
        <v>221</v>
      </c>
      <c r="DD9" s="192">
        <f t="shared" si="37"/>
        <v>0</v>
      </c>
      <c r="DE9" s="192">
        <f t="shared" si="38"/>
        <v>190</v>
      </c>
      <c r="DF9" s="192">
        <f t="shared" si="39"/>
        <v>0</v>
      </c>
      <c r="DG9" s="192">
        <f t="shared" si="40"/>
        <v>330</v>
      </c>
      <c r="DH9" s="192">
        <f t="shared" si="14"/>
        <v>568</v>
      </c>
      <c r="DI9" s="191">
        <f t="shared" si="41"/>
        <v>601</v>
      </c>
      <c r="DJ9" s="298">
        <f t="shared" si="15"/>
        <v>1499</v>
      </c>
      <c r="DK9" s="70">
        <v>7547</v>
      </c>
      <c r="DL9" s="182">
        <f t="shared" si="16"/>
        <v>1169</v>
      </c>
      <c r="DM9" s="184">
        <f t="shared" si="17"/>
        <v>411</v>
      </c>
    </row>
    <row r="10" spans="1:150" ht="15.6">
      <c r="A10" s="32">
        <f t="shared" si="18"/>
        <v>46150</v>
      </c>
      <c r="B10" s="34"/>
      <c r="C10" s="4">
        <v>24</v>
      </c>
      <c r="D10" s="4">
        <v>81</v>
      </c>
      <c r="E10" s="4"/>
      <c r="F10" s="4">
        <f t="shared" si="19"/>
        <v>105</v>
      </c>
      <c r="G10" s="4">
        <f t="shared" si="0"/>
        <v>0</v>
      </c>
      <c r="H10" s="4">
        <f t="shared" si="1"/>
        <v>720</v>
      </c>
      <c r="I10" s="4">
        <f t="shared" si="2"/>
        <v>2430</v>
      </c>
      <c r="J10" s="4">
        <f t="shared" si="3"/>
        <v>0</v>
      </c>
      <c r="K10" s="30">
        <f t="shared" si="4"/>
        <v>3150</v>
      </c>
      <c r="L10" s="61">
        <f t="shared" si="5"/>
        <v>1167</v>
      </c>
      <c r="M10" s="213">
        <v>3</v>
      </c>
      <c r="N10" s="185">
        <v>15.1</v>
      </c>
      <c r="O10" s="185">
        <v>14</v>
      </c>
      <c r="P10" s="185">
        <v>110.75</v>
      </c>
      <c r="Q10" s="185">
        <v>15.95</v>
      </c>
      <c r="R10" s="185">
        <v>32.1</v>
      </c>
      <c r="S10" s="301">
        <v>5.9</v>
      </c>
      <c r="T10" s="301">
        <v>49</v>
      </c>
      <c r="U10" s="301">
        <v>17.7</v>
      </c>
      <c r="V10" s="301">
        <v>350</v>
      </c>
      <c r="W10" s="185">
        <f t="shared" si="20"/>
        <v>62.699999999999996</v>
      </c>
      <c r="X10" s="207">
        <v>5</v>
      </c>
      <c r="Y10" s="207">
        <v>4.9000000000000004</v>
      </c>
      <c r="Z10" s="207">
        <v>8</v>
      </c>
      <c r="AA10" s="207">
        <v>81</v>
      </c>
      <c r="AB10" s="207">
        <v>2621.81</v>
      </c>
      <c r="AC10" s="207">
        <v>415</v>
      </c>
      <c r="AD10" s="185">
        <v>5.8</v>
      </c>
      <c r="AE10" s="185">
        <v>1.6</v>
      </c>
      <c r="AF10" s="185">
        <v>9</v>
      </c>
      <c r="AG10" s="185">
        <v>54</v>
      </c>
      <c r="AH10" s="185">
        <f>AG10*29</f>
        <v>1566</v>
      </c>
      <c r="AI10" s="185">
        <v>310</v>
      </c>
      <c r="AJ10" s="207">
        <v>2</v>
      </c>
      <c r="AK10" s="207">
        <v>12.9</v>
      </c>
      <c r="AL10" s="207">
        <v>40</v>
      </c>
      <c r="AM10" s="207">
        <v>219</v>
      </c>
      <c r="AN10" s="282">
        <v>0</v>
      </c>
      <c r="AO10" s="282">
        <v>219</v>
      </c>
      <c r="AP10" s="282">
        <f t="shared" si="21"/>
        <v>0</v>
      </c>
      <c r="AQ10" s="282">
        <v>331</v>
      </c>
      <c r="AR10" s="62">
        <v>2</v>
      </c>
      <c r="AS10" s="62">
        <v>242</v>
      </c>
      <c r="AT10" s="62">
        <v>60</v>
      </c>
      <c r="AU10" s="60">
        <v>0.7</v>
      </c>
      <c r="AV10" s="62">
        <v>15.2</v>
      </c>
      <c r="AW10" s="62">
        <v>8.33</v>
      </c>
      <c r="AX10" s="62">
        <v>9</v>
      </c>
      <c r="AY10" s="62">
        <v>10</v>
      </c>
      <c r="AZ10" s="94">
        <v>1500</v>
      </c>
      <c r="BA10" s="94">
        <v>750</v>
      </c>
      <c r="BB10" s="95">
        <f t="shared" si="22"/>
        <v>750</v>
      </c>
      <c r="BC10" s="124"/>
      <c r="BD10" s="124"/>
      <c r="BE10" s="124"/>
      <c r="BF10" s="124"/>
      <c r="BG10" s="124"/>
      <c r="BH10" s="124"/>
      <c r="BI10" s="124"/>
      <c r="BJ10" s="124"/>
      <c r="BK10" s="124"/>
      <c r="BL10" s="124">
        <f t="shared" si="23"/>
        <v>0</v>
      </c>
      <c r="BM10" s="188">
        <f t="shared" si="6"/>
        <v>8.33</v>
      </c>
      <c r="BN10" s="188">
        <f t="shared" si="7"/>
        <v>9</v>
      </c>
      <c r="BO10" s="188">
        <f t="shared" si="8"/>
        <v>10</v>
      </c>
      <c r="BP10" s="188">
        <f t="shared" si="9"/>
        <v>1500</v>
      </c>
      <c r="BQ10" s="188">
        <f t="shared" si="10"/>
        <v>15.2</v>
      </c>
      <c r="BR10" s="188">
        <f t="shared" si="24"/>
        <v>60</v>
      </c>
      <c r="BS10" s="188">
        <f t="shared" si="25"/>
        <v>302</v>
      </c>
      <c r="BT10" s="86">
        <v>8.1</v>
      </c>
      <c r="BU10" s="86">
        <v>900</v>
      </c>
      <c r="BV10" s="86">
        <v>2</v>
      </c>
      <c r="BW10" s="86">
        <v>11.4</v>
      </c>
      <c r="BX10" s="86">
        <v>150</v>
      </c>
      <c r="BY10" s="86">
        <v>146</v>
      </c>
      <c r="BZ10" s="86">
        <f t="shared" si="26"/>
        <v>296</v>
      </c>
      <c r="CA10" s="192"/>
      <c r="CB10" s="192"/>
      <c r="CC10" s="192"/>
      <c r="CD10" s="192"/>
      <c r="CE10" s="192"/>
      <c r="CF10" s="192"/>
      <c r="CG10" s="192">
        <f t="shared" si="27"/>
        <v>0</v>
      </c>
      <c r="CH10" s="4">
        <f>1200-595</f>
        <v>605</v>
      </c>
      <c r="CI10" s="4">
        <f>640-130</f>
        <v>510</v>
      </c>
      <c r="CJ10" s="55">
        <f t="shared" si="28"/>
        <v>331</v>
      </c>
      <c r="CK10" s="4">
        <v>175</v>
      </c>
      <c r="CL10" s="4">
        <f t="shared" si="11"/>
        <v>415</v>
      </c>
      <c r="CM10" s="22">
        <f t="shared" si="12"/>
        <v>310</v>
      </c>
      <c r="CN10" s="4">
        <v>0</v>
      </c>
      <c r="CO10" s="4">
        <v>0</v>
      </c>
      <c r="CP10" s="4">
        <f t="shared" si="29"/>
        <v>350</v>
      </c>
      <c r="CQ10" s="4"/>
      <c r="CR10" s="37">
        <f t="shared" si="30"/>
        <v>2696</v>
      </c>
      <c r="CS10" s="4">
        <v>3500</v>
      </c>
      <c r="CT10" s="181">
        <f t="shared" si="42"/>
        <v>118</v>
      </c>
      <c r="CU10" s="180">
        <f t="shared" si="31"/>
        <v>3500</v>
      </c>
      <c r="CV10" s="180">
        <f t="shared" si="32"/>
        <v>3618</v>
      </c>
      <c r="CW10" s="181">
        <f t="shared" si="33"/>
        <v>2696</v>
      </c>
      <c r="CX10" s="181"/>
      <c r="CY10" s="181">
        <f t="shared" si="34"/>
        <v>922</v>
      </c>
      <c r="CZ10" s="91">
        <v>2909</v>
      </c>
      <c r="DA10" s="190">
        <f t="shared" si="35"/>
        <v>415</v>
      </c>
      <c r="DB10" s="191">
        <f t="shared" si="36"/>
        <v>310</v>
      </c>
      <c r="DC10" s="190">
        <f t="shared" si="13"/>
        <v>302</v>
      </c>
      <c r="DD10" s="192">
        <f t="shared" si="37"/>
        <v>0</v>
      </c>
      <c r="DE10" s="192">
        <f t="shared" si="38"/>
        <v>296</v>
      </c>
      <c r="DF10" s="192">
        <f t="shared" si="39"/>
        <v>0</v>
      </c>
      <c r="DG10" s="192">
        <f t="shared" si="40"/>
        <v>350</v>
      </c>
      <c r="DH10" s="192">
        <f t="shared" si="14"/>
        <v>331</v>
      </c>
      <c r="DI10" s="191">
        <f t="shared" si="41"/>
        <v>905</v>
      </c>
      <c r="DJ10" s="298">
        <f t="shared" si="15"/>
        <v>1586</v>
      </c>
      <c r="DK10" s="70">
        <v>7334</v>
      </c>
      <c r="DL10" s="182">
        <f t="shared" si="16"/>
        <v>1236</v>
      </c>
      <c r="DM10" s="184">
        <f t="shared" si="17"/>
        <v>598</v>
      </c>
      <c r="DN10">
        <v>5732</v>
      </c>
    </row>
    <row r="11" spans="1:150" ht="15.6">
      <c r="A11" s="32">
        <f t="shared" si="18"/>
        <v>46151</v>
      </c>
      <c r="B11" s="34">
        <v>54</v>
      </c>
      <c r="C11" s="4">
        <v>20</v>
      </c>
      <c r="D11" s="4">
        <v>72</v>
      </c>
      <c r="E11" s="4"/>
      <c r="F11" s="4">
        <f t="shared" si="19"/>
        <v>146</v>
      </c>
      <c r="G11" s="4">
        <f t="shared" si="0"/>
        <v>1620</v>
      </c>
      <c r="H11" s="4">
        <f t="shared" si="1"/>
        <v>600</v>
      </c>
      <c r="I11" s="4">
        <f t="shared" si="2"/>
        <v>2160</v>
      </c>
      <c r="J11" s="4">
        <f t="shared" si="3"/>
        <v>0</v>
      </c>
      <c r="K11" s="30">
        <f t="shared" si="4"/>
        <v>4380</v>
      </c>
      <c r="L11" s="61">
        <f t="shared" si="5"/>
        <v>1623</v>
      </c>
      <c r="M11" s="213">
        <v>3</v>
      </c>
      <c r="N11" s="185">
        <v>17.8</v>
      </c>
      <c r="O11" s="185">
        <v>16</v>
      </c>
      <c r="P11" s="185">
        <v>92.9</v>
      </c>
      <c r="Q11" s="185">
        <v>9.3000000000000007</v>
      </c>
      <c r="R11" s="185">
        <v>0</v>
      </c>
      <c r="S11" s="301">
        <v>4.9000000000000004</v>
      </c>
      <c r="T11" s="301">
        <v>35</v>
      </c>
      <c r="U11" s="301">
        <v>14.1</v>
      </c>
      <c r="V11" s="301">
        <v>150</v>
      </c>
      <c r="W11" s="185">
        <f t="shared" si="20"/>
        <v>83.600000000000009</v>
      </c>
      <c r="X11" s="207">
        <v>0</v>
      </c>
      <c r="Y11" s="207">
        <v>0</v>
      </c>
      <c r="Z11" s="207">
        <v>0</v>
      </c>
      <c r="AA11" s="207">
        <v>0</v>
      </c>
      <c r="AB11" s="207">
        <v>0</v>
      </c>
      <c r="AC11" s="207">
        <v>0</v>
      </c>
      <c r="AD11" s="185">
        <v>6.5</v>
      </c>
      <c r="AE11" s="185">
        <v>0</v>
      </c>
      <c r="AF11" s="185">
        <v>3</v>
      </c>
      <c r="AG11" s="185">
        <v>57</v>
      </c>
      <c r="AH11" s="185">
        <f>AG11*29</f>
        <v>1653</v>
      </c>
      <c r="AI11" s="185">
        <v>230</v>
      </c>
      <c r="AJ11" s="207">
        <v>2</v>
      </c>
      <c r="AK11" s="207">
        <v>8.5</v>
      </c>
      <c r="AL11" s="207">
        <v>31</v>
      </c>
      <c r="AM11" s="207">
        <v>129.19999999999999</v>
      </c>
      <c r="AN11" s="282">
        <v>0</v>
      </c>
      <c r="AO11" s="282">
        <v>129.19999999999999</v>
      </c>
      <c r="AP11" s="282">
        <f t="shared" si="21"/>
        <v>0</v>
      </c>
      <c r="AQ11" s="282">
        <v>400</v>
      </c>
      <c r="AR11" s="62">
        <v>3</v>
      </c>
      <c r="AS11" s="62">
        <v>335</v>
      </c>
      <c r="AT11" s="62">
        <v>14</v>
      </c>
      <c r="AU11" s="60">
        <v>0.82</v>
      </c>
      <c r="AV11" s="62">
        <v>20.8</v>
      </c>
      <c r="AW11" s="62">
        <v>8.48</v>
      </c>
      <c r="AX11" s="62">
        <v>9</v>
      </c>
      <c r="AY11" s="62">
        <v>9</v>
      </c>
      <c r="AZ11" s="94">
        <v>1600</v>
      </c>
      <c r="BA11" s="94">
        <v>800</v>
      </c>
      <c r="BB11" s="95">
        <f t="shared" si="22"/>
        <v>800</v>
      </c>
      <c r="BC11" s="124"/>
      <c r="BD11" s="124"/>
      <c r="BE11" s="124"/>
      <c r="BF11" s="124"/>
      <c r="BG11" s="124"/>
      <c r="BH11" s="124"/>
      <c r="BI11" s="124"/>
      <c r="BJ11" s="124"/>
      <c r="BK11" s="124"/>
      <c r="BL11" s="124">
        <f t="shared" si="23"/>
        <v>0</v>
      </c>
      <c r="BM11" s="188">
        <f t="shared" si="6"/>
        <v>8.48</v>
      </c>
      <c r="BN11" s="188">
        <f t="shared" si="7"/>
        <v>9</v>
      </c>
      <c r="BO11" s="188">
        <f t="shared" si="8"/>
        <v>9</v>
      </c>
      <c r="BP11" s="188">
        <f t="shared" si="9"/>
        <v>1600</v>
      </c>
      <c r="BQ11" s="188">
        <f t="shared" si="10"/>
        <v>20.8</v>
      </c>
      <c r="BR11" s="188">
        <f t="shared" si="24"/>
        <v>14</v>
      </c>
      <c r="BS11" s="188">
        <f t="shared" si="25"/>
        <v>349</v>
      </c>
      <c r="BT11" s="86">
        <v>4.8</v>
      </c>
      <c r="BU11" s="86">
        <v>500</v>
      </c>
      <c r="BV11" s="86">
        <v>2</v>
      </c>
      <c r="BW11" s="86">
        <v>11.5</v>
      </c>
      <c r="BX11" s="86">
        <v>195</v>
      </c>
      <c r="BY11" s="86">
        <v>0</v>
      </c>
      <c r="BZ11" s="86">
        <f t="shared" si="26"/>
        <v>195</v>
      </c>
      <c r="CA11" s="192"/>
      <c r="CB11" s="192"/>
      <c r="CC11" s="192"/>
      <c r="CD11" s="192"/>
      <c r="CE11" s="192"/>
      <c r="CF11" s="192"/>
      <c r="CG11" s="192">
        <f t="shared" si="27"/>
        <v>0</v>
      </c>
      <c r="CH11" s="4">
        <f>1000-230</f>
        <v>770</v>
      </c>
      <c r="CI11" s="4">
        <v>380</v>
      </c>
      <c r="CJ11" s="55">
        <f t="shared" si="28"/>
        <v>400</v>
      </c>
      <c r="CK11" s="4">
        <v>0</v>
      </c>
      <c r="CL11" s="4">
        <f t="shared" si="11"/>
        <v>0</v>
      </c>
      <c r="CM11" s="22">
        <f t="shared" si="12"/>
        <v>230</v>
      </c>
      <c r="CN11" s="4">
        <v>0</v>
      </c>
      <c r="CO11" s="4">
        <v>150</v>
      </c>
      <c r="CP11" s="4">
        <f t="shared" si="29"/>
        <v>150</v>
      </c>
      <c r="CQ11" s="4"/>
      <c r="CR11" s="37">
        <f t="shared" si="30"/>
        <v>2080</v>
      </c>
      <c r="CS11" s="37">
        <v>2500</v>
      </c>
      <c r="CT11" s="181">
        <f t="shared" si="42"/>
        <v>922</v>
      </c>
      <c r="CU11" s="180">
        <f t="shared" si="31"/>
        <v>2500</v>
      </c>
      <c r="CV11" s="180">
        <f t="shared" si="32"/>
        <v>3422</v>
      </c>
      <c r="CW11" s="181">
        <f t="shared" si="33"/>
        <v>2080</v>
      </c>
      <c r="CX11" s="181"/>
      <c r="CY11" s="181">
        <f t="shared" si="34"/>
        <v>1342</v>
      </c>
      <c r="CZ11" s="91">
        <v>2465</v>
      </c>
      <c r="DA11" s="190">
        <f t="shared" si="35"/>
        <v>0</v>
      </c>
      <c r="DB11" s="191">
        <f t="shared" si="36"/>
        <v>230</v>
      </c>
      <c r="DC11" s="190">
        <f t="shared" si="13"/>
        <v>349</v>
      </c>
      <c r="DD11" s="192">
        <f t="shared" si="37"/>
        <v>0</v>
      </c>
      <c r="DE11" s="192">
        <f t="shared" si="38"/>
        <v>195</v>
      </c>
      <c r="DF11" s="192">
        <f t="shared" si="39"/>
        <v>0</v>
      </c>
      <c r="DG11" s="192">
        <f t="shared" si="40"/>
        <v>150</v>
      </c>
      <c r="DH11" s="192">
        <f t="shared" si="14"/>
        <v>400</v>
      </c>
      <c r="DI11" s="191">
        <f t="shared" si="41"/>
        <v>1141</v>
      </c>
      <c r="DJ11" s="298">
        <f t="shared" si="15"/>
        <v>1691</v>
      </c>
      <c r="DL11" s="182">
        <f t="shared" si="16"/>
        <v>1541</v>
      </c>
      <c r="DM11" s="184">
        <f t="shared" si="17"/>
        <v>544</v>
      </c>
      <c r="DN11">
        <v>5280</v>
      </c>
    </row>
    <row r="12" spans="1:150" ht="15.6">
      <c r="A12" s="32">
        <f t="shared" si="18"/>
        <v>46152</v>
      </c>
      <c r="B12" s="34"/>
      <c r="C12" s="4"/>
      <c r="D12" s="4"/>
      <c r="E12" s="4"/>
      <c r="F12" s="4">
        <f t="shared" si="19"/>
        <v>0</v>
      </c>
      <c r="G12" s="4">
        <f t="shared" si="0"/>
        <v>0</v>
      </c>
      <c r="H12" s="4">
        <f t="shared" si="1"/>
        <v>0</v>
      </c>
      <c r="I12" s="4">
        <f t="shared" si="2"/>
        <v>0</v>
      </c>
      <c r="J12" s="4">
        <f t="shared" si="3"/>
        <v>0</v>
      </c>
      <c r="K12" s="30">
        <f t="shared" si="4"/>
        <v>0</v>
      </c>
      <c r="L12" s="58">
        <f t="shared" si="5"/>
        <v>0</v>
      </c>
      <c r="M12" s="213"/>
      <c r="N12" s="185"/>
      <c r="O12" s="185"/>
      <c r="P12" s="185"/>
      <c r="Q12" s="185"/>
      <c r="R12" s="185"/>
      <c r="S12" s="301"/>
      <c r="T12" s="301"/>
      <c r="U12" s="301"/>
      <c r="V12" s="301"/>
      <c r="W12" s="185">
        <f t="shared" si="20"/>
        <v>0</v>
      </c>
      <c r="X12" s="207"/>
      <c r="Y12" s="207"/>
      <c r="Z12" s="207"/>
      <c r="AA12" s="207"/>
      <c r="AB12" s="207"/>
      <c r="AC12" s="207"/>
      <c r="AD12" s="185"/>
      <c r="AE12" s="185"/>
      <c r="AF12" s="185"/>
      <c r="AG12" s="185"/>
      <c r="AH12" s="185"/>
      <c r="AI12" s="185"/>
      <c r="AJ12" s="207"/>
      <c r="AK12" s="207"/>
      <c r="AL12" s="207"/>
      <c r="AM12" s="207"/>
      <c r="AN12" s="282"/>
      <c r="AO12" s="282"/>
      <c r="AP12" s="282">
        <f t="shared" si="21"/>
        <v>0</v>
      </c>
      <c r="AQ12" s="282"/>
      <c r="AR12" s="62"/>
      <c r="AS12" s="62"/>
      <c r="AT12" s="62"/>
      <c r="AU12" s="60"/>
      <c r="AV12" s="62"/>
      <c r="AW12" s="62"/>
      <c r="AX12" s="62"/>
      <c r="AY12" s="62"/>
      <c r="AZ12" s="94"/>
      <c r="BA12" s="94"/>
      <c r="BB12" s="95">
        <f t="shared" si="22"/>
        <v>0</v>
      </c>
      <c r="BC12" s="124"/>
      <c r="BD12" s="124"/>
      <c r="BE12" s="124"/>
      <c r="BF12" s="124"/>
      <c r="BG12" s="124"/>
      <c r="BH12" s="124"/>
      <c r="BI12" s="124"/>
      <c r="BJ12" s="124"/>
      <c r="BK12" s="124"/>
      <c r="BL12" s="124">
        <f t="shared" si="23"/>
        <v>0</v>
      </c>
      <c r="BM12" s="188">
        <f t="shared" si="6"/>
        <v>0</v>
      </c>
      <c r="BN12" s="188">
        <f t="shared" si="7"/>
        <v>0</v>
      </c>
      <c r="BO12" s="188">
        <f t="shared" si="8"/>
        <v>0</v>
      </c>
      <c r="BP12" s="188">
        <f t="shared" si="9"/>
        <v>0</v>
      </c>
      <c r="BQ12" s="188">
        <f t="shared" si="10"/>
        <v>0</v>
      </c>
      <c r="BR12" s="188">
        <f t="shared" si="24"/>
        <v>0</v>
      </c>
      <c r="BS12" s="188">
        <f t="shared" si="25"/>
        <v>0</v>
      </c>
      <c r="BT12" s="86"/>
      <c r="BU12" s="86"/>
      <c r="BV12" s="86"/>
      <c r="BW12" s="86"/>
      <c r="BX12" s="86"/>
      <c r="BY12" s="86"/>
      <c r="BZ12" s="86">
        <f t="shared" si="26"/>
        <v>0</v>
      </c>
      <c r="CA12" s="192"/>
      <c r="CB12" s="192"/>
      <c r="CC12" s="192"/>
      <c r="CD12" s="192"/>
      <c r="CE12" s="192"/>
      <c r="CF12" s="192"/>
      <c r="CG12" s="192">
        <f t="shared" si="27"/>
        <v>0</v>
      </c>
      <c r="CH12" s="4"/>
      <c r="CI12" s="4"/>
      <c r="CJ12" s="55">
        <f t="shared" si="28"/>
        <v>0</v>
      </c>
      <c r="CK12" s="4"/>
      <c r="CL12" s="4">
        <f t="shared" si="11"/>
        <v>0</v>
      </c>
      <c r="CM12" s="22">
        <f t="shared" si="12"/>
        <v>0</v>
      </c>
      <c r="CN12" s="4"/>
      <c r="CO12" s="4"/>
      <c r="CP12" s="4">
        <f t="shared" si="29"/>
        <v>0</v>
      </c>
      <c r="CQ12" s="4"/>
      <c r="CR12" s="37">
        <f t="shared" si="30"/>
        <v>0</v>
      </c>
      <c r="CS12" s="4"/>
      <c r="CT12" s="181">
        <f t="shared" si="42"/>
        <v>1342</v>
      </c>
      <c r="CU12" s="180">
        <f t="shared" si="31"/>
        <v>0</v>
      </c>
      <c r="CV12" s="180">
        <f t="shared" si="32"/>
        <v>1342</v>
      </c>
      <c r="CW12" s="181">
        <f t="shared" si="33"/>
        <v>0</v>
      </c>
      <c r="CX12" s="181"/>
      <c r="CY12" s="181">
        <f t="shared" si="34"/>
        <v>1342</v>
      </c>
      <c r="CZ12" s="91"/>
      <c r="DA12" s="190">
        <f t="shared" si="35"/>
        <v>0</v>
      </c>
      <c r="DB12" s="191">
        <f t="shared" si="36"/>
        <v>0</v>
      </c>
      <c r="DC12" s="190">
        <f t="shared" si="13"/>
        <v>0</v>
      </c>
      <c r="DD12" s="192">
        <f t="shared" si="37"/>
        <v>0</v>
      </c>
      <c r="DE12" s="192">
        <f t="shared" si="38"/>
        <v>0</v>
      </c>
      <c r="DF12" s="192">
        <f t="shared" si="39"/>
        <v>0</v>
      </c>
      <c r="DG12" s="192">
        <f t="shared" si="40"/>
        <v>0</v>
      </c>
      <c r="DH12" s="192">
        <f t="shared" si="14"/>
        <v>0</v>
      </c>
      <c r="DI12" s="191">
        <f t="shared" si="41"/>
        <v>0</v>
      </c>
      <c r="DJ12" s="298">
        <f t="shared" si="15"/>
        <v>0</v>
      </c>
      <c r="DL12" s="182">
        <f t="shared" si="16"/>
        <v>0</v>
      </c>
      <c r="DM12" s="184">
        <f t="shared" si="17"/>
        <v>0</v>
      </c>
    </row>
    <row r="13" spans="1:150" ht="15.6">
      <c r="A13" s="32">
        <f t="shared" si="18"/>
        <v>46153</v>
      </c>
      <c r="B13" s="34"/>
      <c r="C13" s="4"/>
      <c r="D13" s="4">
        <v>92</v>
      </c>
      <c r="E13" s="4"/>
      <c r="F13" s="4">
        <f t="shared" si="19"/>
        <v>92</v>
      </c>
      <c r="G13" s="4">
        <f t="shared" si="0"/>
        <v>0</v>
      </c>
      <c r="H13" s="4">
        <f t="shared" si="1"/>
        <v>0</v>
      </c>
      <c r="I13" s="4">
        <f t="shared" si="2"/>
        <v>2760</v>
      </c>
      <c r="J13" s="4">
        <f t="shared" si="3"/>
        <v>0</v>
      </c>
      <c r="K13" s="30">
        <f t="shared" si="4"/>
        <v>2760</v>
      </c>
      <c r="L13" s="58">
        <f t="shared" si="5"/>
        <v>1023</v>
      </c>
      <c r="M13" s="213">
        <v>3</v>
      </c>
      <c r="N13" s="185">
        <v>13.7</v>
      </c>
      <c r="O13" s="185">
        <v>13</v>
      </c>
      <c r="P13" s="185">
        <v>85.4</v>
      </c>
      <c r="Q13" s="185">
        <v>2.85</v>
      </c>
      <c r="R13" s="185">
        <v>30.15</v>
      </c>
      <c r="S13" s="301">
        <v>5.3</v>
      </c>
      <c r="T13" s="301">
        <v>36</v>
      </c>
      <c r="U13" s="301">
        <v>13.7</v>
      </c>
      <c r="V13" s="301">
        <v>278</v>
      </c>
      <c r="W13" s="185">
        <f t="shared" si="20"/>
        <v>52.400000000000013</v>
      </c>
      <c r="X13" s="207">
        <v>4.5999999999999996</v>
      </c>
      <c r="Y13" s="207">
        <v>6.8</v>
      </c>
      <c r="Z13" s="207">
        <v>6</v>
      </c>
      <c r="AA13" s="207">
        <v>112</v>
      </c>
      <c r="AB13" s="207">
        <v>3437.84</v>
      </c>
      <c r="AC13" s="207">
        <v>350</v>
      </c>
      <c r="AD13" s="185">
        <v>2.5</v>
      </c>
      <c r="AE13" s="185">
        <v>1</v>
      </c>
      <c r="AF13" s="185">
        <v>5</v>
      </c>
      <c r="AG13" s="185">
        <v>17</v>
      </c>
      <c r="AH13" s="185">
        <f>AG13*29</f>
        <v>493</v>
      </c>
      <c r="AI13" s="185">
        <v>120</v>
      </c>
      <c r="AJ13" s="207">
        <v>2</v>
      </c>
      <c r="AK13" s="207">
        <v>4</v>
      </c>
      <c r="AL13" s="207">
        <v>23</v>
      </c>
      <c r="AM13" s="207">
        <v>74.2</v>
      </c>
      <c r="AN13" s="282">
        <v>0</v>
      </c>
      <c r="AO13" s="282">
        <v>74.2</v>
      </c>
      <c r="AP13" s="282">
        <f t="shared" si="21"/>
        <v>0</v>
      </c>
      <c r="AQ13" s="282">
        <v>150</v>
      </c>
      <c r="AR13" s="62">
        <v>2</v>
      </c>
      <c r="AS13" s="62">
        <v>194</v>
      </c>
      <c r="AT13" s="62">
        <v>0</v>
      </c>
      <c r="AU13" s="60">
        <v>0</v>
      </c>
      <c r="AV13" s="62">
        <v>13.2</v>
      </c>
      <c r="AW13" s="62">
        <v>7.73</v>
      </c>
      <c r="AX13" s="62">
        <v>8</v>
      </c>
      <c r="AY13" s="62">
        <v>8</v>
      </c>
      <c r="AZ13" s="94">
        <v>1500</v>
      </c>
      <c r="BA13" s="94">
        <v>750</v>
      </c>
      <c r="BB13" s="95">
        <f t="shared" si="22"/>
        <v>750</v>
      </c>
      <c r="BC13" s="124"/>
      <c r="BD13" s="124"/>
      <c r="BE13" s="124"/>
      <c r="BF13" s="124"/>
      <c r="BG13" s="124"/>
      <c r="BH13" s="124"/>
      <c r="BI13" s="124"/>
      <c r="BJ13" s="124"/>
      <c r="BK13" s="124"/>
      <c r="BL13" s="124">
        <f t="shared" si="23"/>
        <v>0</v>
      </c>
      <c r="BM13" s="188">
        <f t="shared" si="6"/>
        <v>7.73</v>
      </c>
      <c r="BN13" s="188">
        <f t="shared" si="7"/>
        <v>8</v>
      </c>
      <c r="BO13" s="188">
        <f t="shared" si="8"/>
        <v>8</v>
      </c>
      <c r="BP13" s="188">
        <f t="shared" si="9"/>
        <v>1500</v>
      </c>
      <c r="BQ13" s="188">
        <f t="shared" si="10"/>
        <v>13.2</v>
      </c>
      <c r="BR13" s="188">
        <f t="shared" si="24"/>
        <v>0</v>
      </c>
      <c r="BS13" s="188">
        <f t="shared" si="25"/>
        <v>194</v>
      </c>
      <c r="BT13" s="86">
        <v>0</v>
      </c>
      <c r="BU13" s="86">
        <v>0</v>
      </c>
      <c r="BV13" s="86">
        <v>0</v>
      </c>
      <c r="BW13" s="86">
        <v>0</v>
      </c>
      <c r="BX13" s="86">
        <v>0</v>
      </c>
      <c r="BY13" s="86">
        <v>0</v>
      </c>
      <c r="BZ13" s="86">
        <f t="shared" si="26"/>
        <v>0</v>
      </c>
      <c r="CA13" s="192"/>
      <c r="CB13" s="192"/>
      <c r="CC13" s="192"/>
      <c r="CD13" s="192"/>
      <c r="CE13" s="192"/>
      <c r="CF13" s="192"/>
      <c r="CG13" s="192">
        <f t="shared" si="27"/>
        <v>0</v>
      </c>
      <c r="CH13" s="4">
        <f>1260+150-349</f>
        <v>1061</v>
      </c>
      <c r="CI13" s="4">
        <f>394-121</f>
        <v>273</v>
      </c>
      <c r="CJ13" s="55">
        <f t="shared" si="28"/>
        <v>150</v>
      </c>
      <c r="CK13" s="4">
        <v>194</v>
      </c>
      <c r="CL13" s="4">
        <f t="shared" si="11"/>
        <v>350</v>
      </c>
      <c r="CM13" s="22">
        <f t="shared" si="12"/>
        <v>120</v>
      </c>
      <c r="CN13" s="4">
        <v>0</v>
      </c>
      <c r="CO13" s="4">
        <v>0</v>
      </c>
      <c r="CP13" s="4">
        <f t="shared" si="29"/>
        <v>278</v>
      </c>
      <c r="CQ13" s="4"/>
      <c r="CR13" s="37">
        <f t="shared" si="30"/>
        <v>2426</v>
      </c>
      <c r="CS13" s="4">
        <v>1500</v>
      </c>
      <c r="CT13" s="181">
        <f t="shared" si="42"/>
        <v>1342</v>
      </c>
      <c r="CU13" s="180">
        <f t="shared" si="31"/>
        <v>1500</v>
      </c>
      <c r="CV13" s="180">
        <f t="shared" si="32"/>
        <v>2842</v>
      </c>
      <c r="CW13" s="181">
        <f t="shared" si="33"/>
        <v>2426</v>
      </c>
      <c r="CX13" s="181"/>
      <c r="CY13" s="181">
        <f t="shared" si="34"/>
        <v>416</v>
      </c>
      <c r="CZ13" s="91">
        <v>2084</v>
      </c>
      <c r="DA13" s="190">
        <f t="shared" si="35"/>
        <v>350</v>
      </c>
      <c r="DB13" s="191">
        <f t="shared" si="36"/>
        <v>120</v>
      </c>
      <c r="DC13" s="190">
        <f t="shared" si="13"/>
        <v>194</v>
      </c>
      <c r="DD13" s="192">
        <f t="shared" si="37"/>
        <v>0</v>
      </c>
      <c r="DE13" s="192">
        <f t="shared" si="38"/>
        <v>0</v>
      </c>
      <c r="DF13" s="192">
        <f t="shared" si="39"/>
        <v>0</v>
      </c>
      <c r="DG13" s="192">
        <f t="shared" si="40"/>
        <v>278</v>
      </c>
      <c r="DH13" s="192">
        <f t="shared" si="14"/>
        <v>150</v>
      </c>
      <c r="DI13" s="191">
        <f t="shared" si="41"/>
        <v>992</v>
      </c>
      <c r="DJ13" s="298">
        <f t="shared" si="15"/>
        <v>1420</v>
      </c>
      <c r="DK13" s="70">
        <v>7291</v>
      </c>
      <c r="DL13" s="182">
        <f t="shared" si="16"/>
        <v>1142</v>
      </c>
      <c r="DM13" s="184">
        <f t="shared" si="17"/>
        <v>194</v>
      </c>
    </row>
    <row r="14" spans="1:150" ht="15.6">
      <c r="A14" s="32">
        <f t="shared" si="18"/>
        <v>46154</v>
      </c>
      <c r="B14" s="34"/>
      <c r="C14" s="4">
        <v>21</v>
      </c>
      <c r="D14" s="4">
        <v>107</v>
      </c>
      <c r="E14" s="4"/>
      <c r="F14" s="4">
        <f t="shared" si="19"/>
        <v>128</v>
      </c>
      <c r="G14" s="4">
        <f t="shared" si="0"/>
        <v>0</v>
      </c>
      <c r="H14" s="4">
        <f t="shared" si="1"/>
        <v>630</v>
      </c>
      <c r="I14" s="4">
        <f t="shared" si="2"/>
        <v>3210</v>
      </c>
      <c r="J14" s="4">
        <f t="shared" si="3"/>
        <v>0</v>
      </c>
      <c r="K14" s="30">
        <f t="shared" si="4"/>
        <v>3840</v>
      </c>
      <c r="L14" s="58">
        <f t="shared" si="5"/>
        <v>1423</v>
      </c>
      <c r="M14" s="213">
        <v>3</v>
      </c>
      <c r="N14" s="185">
        <v>16.600000000000001</v>
      </c>
      <c r="O14" s="185">
        <v>17</v>
      </c>
      <c r="P14" s="185">
        <v>94.5</v>
      </c>
      <c r="Q14" s="185">
        <v>5.75</v>
      </c>
      <c r="R14" s="185">
        <v>0</v>
      </c>
      <c r="S14" s="301">
        <v>2.2000000000000002</v>
      </c>
      <c r="T14" s="301">
        <v>12</v>
      </c>
      <c r="U14" s="301">
        <v>4.7</v>
      </c>
      <c r="V14" s="301">
        <v>0</v>
      </c>
      <c r="W14" s="185">
        <f t="shared" si="20"/>
        <v>88.75</v>
      </c>
      <c r="X14" s="207">
        <v>0</v>
      </c>
      <c r="Y14" s="207">
        <v>0</v>
      </c>
      <c r="Z14" s="207">
        <v>0</v>
      </c>
      <c r="AA14" s="207">
        <v>0</v>
      </c>
      <c r="AB14" s="207">
        <v>0</v>
      </c>
      <c r="AC14" s="207">
        <v>0</v>
      </c>
      <c r="AD14" s="185">
        <v>3.2</v>
      </c>
      <c r="AE14" s="185">
        <v>0</v>
      </c>
      <c r="AF14" s="185">
        <v>3</v>
      </c>
      <c r="AG14" s="185">
        <v>21</v>
      </c>
      <c r="AH14" s="185">
        <f>AG14*29</f>
        <v>609</v>
      </c>
      <c r="AI14" s="185">
        <v>105</v>
      </c>
      <c r="AJ14" s="207">
        <v>2</v>
      </c>
      <c r="AK14" s="207">
        <v>3.7</v>
      </c>
      <c r="AL14" s="207">
        <v>23</v>
      </c>
      <c r="AM14" s="207">
        <v>61</v>
      </c>
      <c r="AN14" s="282">
        <v>0</v>
      </c>
      <c r="AO14" s="282">
        <v>61</v>
      </c>
      <c r="AP14" s="282">
        <f t="shared" si="21"/>
        <v>0</v>
      </c>
      <c r="AQ14" s="282">
        <v>0</v>
      </c>
      <c r="AR14" s="62">
        <v>2</v>
      </c>
      <c r="AS14" s="62">
        <v>388</v>
      </c>
      <c r="AT14" s="62">
        <v>0</v>
      </c>
      <c r="AU14" s="60">
        <v>0</v>
      </c>
      <c r="AV14" s="62">
        <v>21.1</v>
      </c>
      <c r="AW14" s="62">
        <v>8.26</v>
      </c>
      <c r="AX14" s="62">
        <v>8</v>
      </c>
      <c r="AY14" s="62">
        <v>9</v>
      </c>
      <c r="AZ14" s="94">
        <v>1800</v>
      </c>
      <c r="BA14" s="94">
        <v>900</v>
      </c>
      <c r="BB14" s="95">
        <f t="shared" si="22"/>
        <v>900</v>
      </c>
      <c r="BC14" s="124"/>
      <c r="BD14" s="124"/>
      <c r="BE14" s="124"/>
      <c r="BF14" s="124"/>
      <c r="BG14" s="124"/>
      <c r="BH14" s="124"/>
      <c r="BI14" s="124"/>
      <c r="BJ14" s="124"/>
      <c r="BK14" s="124"/>
      <c r="BL14" s="124">
        <f t="shared" si="23"/>
        <v>0</v>
      </c>
      <c r="BM14" s="188">
        <f t="shared" si="6"/>
        <v>8.26</v>
      </c>
      <c r="BN14" s="188">
        <f t="shared" si="7"/>
        <v>8</v>
      </c>
      <c r="BO14" s="188">
        <f t="shared" si="8"/>
        <v>9</v>
      </c>
      <c r="BP14" s="188">
        <f t="shared" si="9"/>
        <v>1800</v>
      </c>
      <c r="BQ14" s="188">
        <f t="shared" si="10"/>
        <v>21.1</v>
      </c>
      <c r="BR14" s="188">
        <f t="shared" si="24"/>
        <v>0</v>
      </c>
      <c r="BS14" s="188">
        <f t="shared" si="25"/>
        <v>388</v>
      </c>
      <c r="BT14" s="86">
        <v>0</v>
      </c>
      <c r="BU14" s="86">
        <v>0</v>
      </c>
      <c r="BV14" s="86">
        <v>0</v>
      </c>
      <c r="BW14" s="86">
        <v>0</v>
      </c>
      <c r="BX14" s="86">
        <v>0</v>
      </c>
      <c r="BY14" s="86">
        <v>0</v>
      </c>
      <c r="BZ14" s="86">
        <f t="shared" si="26"/>
        <v>0</v>
      </c>
      <c r="CA14" s="192"/>
      <c r="CB14" s="192"/>
      <c r="CC14" s="192"/>
      <c r="CD14" s="192"/>
      <c r="CE14" s="192"/>
      <c r="CF14" s="192"/>
      <c r="CG14" s="192">
        <f t="shared" si="27"/>
        <v>0</v>
      </c>
      <c r="CH14" s="4">
        <f>1380-105</f>
        <v>1275</v>
      </c>
      <c r="CI14" s="4">
        <v>369</v>
      </c>
      <c r="CJ14" s="55">
        <f t="shared" si="28"/>
        <v>0</v>
      </c>
      <c r="CK14" s="4">
        <v>100</v>
      </c>
      <c r="CL14" s="4">
        <f t="shared" si="11"/>
        <v>0</v>
      </c>
      <c r="CM14" s="22">
        <f t="shared" si="12"/>
        <v>105</v>
      </c>
      <c r="CN14" s="4"/>
      <c r="CO14" s="4"/>
      <c r="CP14" s="4">
        <f t="shared" si="29"/>
        <v>0</v>
      </c>
      <c r="CQ14" s="4"/>
      <c r="CR14" s="37">
        <f t="shared" si="30"/>
        <v>1849</v>
      </c>
      <c r="CS14" s="4">
        <v>4000</v>
      </c>
      <c r="CT14" s="181">
        <f t="shared" si="42"/>
        <v>416</v>
      </c>
      <c r="CU14" s="180">
        <f t="shared" si="31"/>
        <v>4000</v>
      </c>
      <c r="CV14" s="180">
        <f t="shared" si="32"/>
        <v>4416</v>
      </c>
      <c r="CW14" s="181">
        <f t="shared" si="33"/>
        <v>1849</v>
      </c>
      <c r="CX14" s="181"/>
      <c r="CY14" s="181">
        <f t="shared" si="34"/>
        <v>2567</v>
      </c>
      <c r="CZ14" s="91">
        <v>1982</v>
      </c>
      <c r="DA14" s="190">
        <f t="shared" si="35"/>
        <v>0</v>
      </c>
      <c r="DB14" s="191">
        <f t="shared" si="36"/>
        <v>105</v>
      </c>
      <c r="DC14" s="190">
        <f t="shared" si="13"/>
        <v>388</v>
      </c>
      <c r="DD14" s="192">
        <f t="shared" si="37"/>
        <v>0</v>
      </c>
      <c r="DE14" s="192">
        <f t="shared" si="38"/>
        <v>0</v>
      </c>
      <c r="DF14" s="192">
        <f t="shared" si="39"/>
        <v>0</v>
      </c>
      <c r="DG14" s="192">
        <f t="shared" si="40"/>
        <v>0</v>
      </c>
      <c r="DH14" s="192">
        <f t="shared" si="14"/>
        <v>0</v>
      </c>
      <c r="DI14" s="191">
        <f t="shared" si="41"/>
        <v>1489</v>
      </c>
      <c r="DJ14" s="298">
        <f t="shared" si="15"/>
        <v>1489</v>
      </c>
      <c r="DK14" s="294">
        <v>7158</v>
      </c>
      <c r="DL14" s="182">
        <f t="shared" si="16"/>
        <v>1489</v>
      </c>
      <c r="DM14" s="184">
        <f t="shared" si="17"/>
        <v>388</v>
      </c>
      <c r="DN14">
        <v>5952</v>
      </c>
    </row>
    <row r="15" spans="1:150" ht="15.6">
      <c r="A15" s="33">
        <f t="shared" si="18"/>
        <v>46155</v>
      </c>
      <c r="B15" s="35">
        <v>30</v>
      </c>
      <c r="C15" s="23">
        <v>47</v>
      </c>
      <c r="D15" s="23">
        <v>37</v>
      </c>
      <c r="E15" s="23"/>
      <c r="F15" s="4">
        <f t="shared" si="19"/>
        <v>114</v>
      </c>
      <c r="G15" s="23">
        <f t="shared" si="0"/>
        <v>900</v>
      </c>
      <c r="H15" s="23">
        <f t="shared" si="1"/>
        <v>1410</v>
      </c>
      <c r="I15" s="23">
        <f t="shared" si="2"/>
        <v>1110</v>
      </c>
      <c r="J15" s="23">
        <f t="shared" si="3"/>
        <v>0</v>
      </c>
      <c r="K15" s="24">
        <f t="shared" si="4"/>
        <v>3420</v>
      </c>
      <c r="L15" s="58">
        <f t="shared" si="5"/>
        <v>1267</v>
      </c>
      <c r="M15" s="216">
        <v>3</v>
      </c>
      <c r="N15" s="185">
        <v>16.7</v>
      </c>
      <c r="O15" s="185">
        <v>16</v>
      </c>
      <c r="P15" s="185">
        <v>132.4</v>
      </c>
      <c r="Q15" s="185">
        <v>0</v>
      </c>
      <c r="R15" s="185">
        <v>55.4</v>
      </c>
      <c r="S15" s="301">
        <v>5.4</v>
      </c>
      <c r="T15" s="301">
        <v>37</v>
      </c>
      <c r="U15" s="301">
        <v>12.2</v>
      </c>
      <c r="V15" s="301">
        <v>198</v>
      </c>
      <c r="W15" s="185">
        <f t="shared" si="20"/>
        <v>77</v>
      </c>
      <c r="X15" s="207">
        <v>8.6</v>
      </c>
      <c r="Y15" s="207">
        <v>9.4</v>
      </c>
      <c r="Z15" s="207">
        <v>6</v>
      </c>
      <c r="AA15" s="207">
        <v>149</v>
      </c>
      <c r="AB15" s="207">
        <v>4774.3</v>
      </c>
      <c r="AC15" s="207">
        <v>700</v>
      </c>
      <c r="AD15" s="185">
        <v>0</v>
      </c>
      <c r="AE15" s="185">
        <v>0</v>
      </c>
      <c r="AF15" s="185">
        <v>0</v>
      </c>
      <c r="AG15" s="185">
        <v>0</v>
      </c>
      <c r="AH15" s="185">
        <v>0</v>
      </c>
      <c r="AI15" s="185">
        <v>0</v>
      </c>
      <c r="AJ15" s="207">
        <v>2</v>
      </c>
      <c r="AK15" s="207">
        <v>6</v>
      </c>
      <c r="AL15" s="207">
        <v>50</v>
      </c>
      <c r="AM15" s="207">
        <v>131</v>
      </c>
      <c r="AN15" s="282">
        <v>0</v>
      </c>
      <c r="AO15" s="282">
        <v>131</v>
      </c>
      <c r="AP15" s="282">
        <f t="shared" si="21"/>
        <v>0</v>
      </c>
      <c r="AQ15" s="284">
        <v>381</v>
      </c>
      <c r="AR15" s="96">
        <v>3</v>
      </c>
      <c r="AS15" s="96">
        <v>285</v>
      </c>
      <c r="AT15" s="96">
        <v>0</v>
      </c>
      <c r="AU15" s="97">
        <v>0</v>
      </c>
      <c r="AV15" s="96">
        <v>17.600000000000001</v>
      </c>
      <c r="AW15" s="96">
        <v>6.02</v>
      </c>
      <c r="AX15" s="96">
        <v>7</v>
      </c>
      <c r="AY15" s="96">
        <v>6</v>
      </c>
      <c r="AZ15" s="98">
        <v>1200</v>
      </c>
      <c r="BA15" s="94">
        <v>600</v>
      </c>
      <c r="BB15" s="95">
        <f t="shared" si="22"/>
        <v>600</v>
      </c>
      <c r="BC15" s="124"/>
      <c r="BD15" s="124"/>
      <c r="BE15" s="124"/>
      <c r="BF15" s="124"/>
      <c r="BG15" s="124"/>
      <c r="BH15" s="125"/>
      <c r="BI15" s="125"/>
      <c r="BJ15" s="125"/>
      <c r="BK15" s="125"/>
      <c r="BL15" s="124">
        <f t="shared" si="23"/>
        <v>0</v>
      </c>
      <c r="BM15" s="188">
        <f t="shared" si="6"/>
        <v>6.02</v>
      </c>
      <c r="BN15" s="188">
        <f t="shared" si="7"/>
        <v>7</v>
      </c>
      <c r="BO15" s="188">
        <f t="shared" si="8"/>
        <v>6</v>
      </c>
      <c r="BP15" s="188">
        <f t="shared" si="9"/>
        <v>1200</v>
      </c>
      <c r="BQ15" s="188">
        <f t="shared" si="10"/>
        <v>17.600000000000001</v>
      </c>
      <c r="BR15" s="188">
        <f t="shared" si="24"/>
        <v>0</v>
      </c>
      <c r="BS15" s="188">
        <f t="shared" si="25"/>
        <v>285</v>
      </c>
      <c r="BT15" s="178">
        <v>0</v>
      </c>
      <c r="BU15" s="178">
        <v>0</v>
      </c>
      <c r="BV15" s="86">
        <v>1</v>
      </c>
      <c r="BW15" s="86">
        <v>2.2999999999999998</v>
      </c>
      <c r="BX15" s="86">
        <v>70</v>
      </c>
      <c r="BY15" s="86">
        <v>0</v>
      </c>
      <c r="BZ15" s="86">
        <f t="shared" si="26"/>
        <v>70</v>
      </c>
      <c r="CA15" s="318"/>
      <c r="CB15" s="318"/>
      <c r="CC15" s="318"/>
      <c r="CD15" s="318"/>
      <c r="CE15" s="318"/>
      <c r="CF15" s="318"/>
      <c r="CG15" s="192">
        <f t="shared" si="27"/>
        <v>0</v>
      </c>
      <c r="CH15" s="23">
        <f>1605-527</f>
        <v>1078</v>
      </c>
      <c r="CI15" s="23">
        <f>294-173</f>
        <v>121</v>
      </c>
      <c r="CJ15" s="55">
        <f t="shared" si="28"/>
        <v>381</v>
      </c>
      <c r="CK15" s="23">
        <v>50</v>
      </c>
      <c r="CL15" s="4">
        <f t="shared" si="11"/>
        <v>700</v>
      </c>
      <c r="CM15" s="22">
        <f t="shared" si="12"/>
        <v>0</v>
      </c>
      <c r="CN15" s="23"/>
      <c r="CO15" s="23"/>
      <c r="CP15" s="4">
        <f t="shared" si="29"/>
        <v>198</v>
      </c>
      <c r="CQ15" s="4"/>
      <c r="CR15" s="37">
        <f t="shared" si="30"/>
        <v>2528</v>
      </c>
      <c r="CS15" s="23"/>
      <c r="CT15" s="181">
        <f t="shared" si="42"/>
        <v>2567</v>
      </c>
      <c r="CU15" s="180">
        <f t="shared" si="31"/>
        <v>0</v>
      </c>
      <c r="CV15" s="180">
        <f t="shared" si="32"/>
        <v>2567</v>
      </c>
      <c r="CW15" s="181">
        <f t="shared" si="33"/>
        <v>2528</v>
      </c>
      <c r="CX15" s="181"/>
      <c r="CY15" s="181">
        <f t="shared" si="34"/>
        <v>39</v>
      </c>
      <c r="CZ15" s="91">
        <v>2966</v>
      </c>
      <c r="DA15" s="190">
        <f t="shared" si="35"/>
        <v>700</v>
      </c>
      <c r="DB15" s="191">
        <f t="shared" si="36"/>
        <v>0</v>
      </c>
      <c r="DC15" s="190">
        <f t="shared" si="13"/>
        <v>285</v>
      </c>
      <c r="DD15" s="192">
        <f t="shared" si="37"/>
        <v>0</v>
      </c>
      <c r="DE15" s="192">
        <f t="shared" si="38"/>
        <v>70</v>
      </c>
      <c r="DF15" s="192">
        <f t="shared" si="39"/>
        <v>0</v>
      </c>
      <c r="DG15" s="192">
        <f t="shared" ref="DG15:DG33" si="43">V15</f>
        <v>198</v>
      </c>
      <c r="DH15" s="192">
        <f t="shared" si="14"/>
        <v>381</v>
      </c>
      <c r="DI15" s="191">
        <f t="shared" si="41"/>
        <v>1332</v>
      </c>
      <c r="DJ15" s="298">
        <f t="shared" si="15"/>
        <v>1911</v>
      </c>
      <c r="DK15" s="70">
        <v>6720</v>
      </c>
      <c r="DL15" s="182">
        <f t="shared" si="16"/>
        <v>1713</v>
      </c>
      <c r="DM15" s="184">
        <f t="shared" si="17"/>
        <v>355</v>
      </c>
      <c r="DN15">
        <v>5583</v>
      </c>
    </row>
    <row r="16" spans="1:150" s="39" customFormat="1" ht="15.6">
      <c r="A16" s="32">
        <f t="shared" si="18"/>
        <v>46156</v>
      </c>
      <c r="B16" s="4">
        <v>15</v>
      </c>
      <c r="C16" s="4">
        <v>19</v>
      </c>
      <c r="D16" s="4">
        <v>94</v>
      </c>
      <c r="E16" s="4"/>
      <c r="F16" s="4">
        <f t="shared" si="19"/>
        <v>128</v>
      </c>
      <c r="G16" s="4">
        <f t="shared" si="0"/>
        <v>450</v>
      </c>
      <c r="H16" s="4">
        <f t="shared" si="1"/>
        <v>570</v>
      </c>
      <c r="I16" s="4">
        <f t="shared" si="2"/>
        <v>2820</v>
      </c>
      <c r="J16" s="4">
        <f t="shared" si="3"/>
        <v>0</v>
      </c>
      <c r="K16" s="30">
        <f t="shared" si="4"/>
        <v>3840</v>
      </c>
      <c r="L16" s="58">
        <f t="shared" si="5"/>
        <v>1423</v>
      </c>
      <c r="M16" s="213">
        <v>3</v>
      </c>
      <c r="N16" s="185">
        <v>21.5</v>
      </c>
      <c r="O16" s="185">
        <v>19</v>
      </c>
      <c r="P16" s="185">
        <v>135.35</v>
      </c>
      <c r="Q16" s="185">
        <v>3.6</v>
      </c>
      <c r="R16" s="185">
        <v>46.15</v>
      </c>
      <c r="S16" s="301">
        <v>6</v>
      </c>
      <c r="T16" s="301">
        <v>48</v>
      </c>
      <c r="U16" s="301">
        <v>17.8</v>
      </c>
      <c r="V16" s="301">
        <v>200</v>
      </c>
      <c r="W16" s="185">
        <f t="shared" si="20"/>
        <v>85.6</v>
      </c>
      <c r="X16" s="207">
        <v>3.7</v>
      </c>
      <c r="Y16" s="207">
        <v>11.5</v>
      </c>
      <c r="Z16" s="207">
        <v>9</v>
      </c>
      <c r="AA16" s="207">
        <v>160</v>
      </c>
      <c r="AB16" s="207">
        <v>5064.43</v>
      </c>
      <c r="AC16" s="207">
        <v>630</v>
      </c>
      <c r="AD16" s="185">
        <v>2.2999999999999998</v>
      </c>
      <c r="AE16" s="185">
        <v>0</v>
      </c>
      <c r="AF16" s="185">
        <v>2</v>
      </c>
      <c r="AG16" s="185">
        <v>16</v>
      </c>
      <c r="AH16" s="185">
        <f>AG16*29</f>
        <v>464</v>
      </c>
      <c r="AI16" s="185">
        <v>80</v>
      </c>
      <c r="AJ16" s="207">
        <v>2</v>
      </c>
      <c r="AK16" s="207">
        <v>7.5</v>
      </c>
      <c r="AL16" s="207">
        <v>34</v>
      </c>
      <c r="AM16" s="207">
        <v>118.6</v>
      </c>
      <c r="AN16" s="282">
        <v>0</v>
      </c>
      <c r="AO16" s="282">
        <v>118.6</v>
      </c>
      <c r="AP16" s="282">
        <f t="shared" si="21"/>
        <v>0</v>
      </c>
      <c r="AQ16" s="282">
        <v>150</v>
      </c>
      <c r="AR16" s="62">
        <v>4</v>
      </c>
      <c r="AS16" s="62">
        <v>312</v>
      </c>
      <c r="AT16" s="62"/>
      <c r="AU16" s="60"/>
      <c r="AV16" s="62">
        <v>19.100000000000001</v>
      </c>
      <c r="AW16" s="62">
        <v>10.6</v>
      </c>
      <c r="AX16" s="62">
        <v>10</v>
      </c>
      <c r="AY16" s="62">
        <v>11</v>
      </c>
      <c r="AZ16" s="94">
        <v>1800</v>
      </c>
      <c r="BA16" s="94">
        <v>900</v>
      </c>
      <c r="BB16" s="95">
        <f t="shared" si="22"/>
        <v>900</v>
      </c>
      <c r="BC16" s="124"/>
      <c r="BD16" s="124"/>
      <c r="BE16" s="124"/>
      <c r="BF16" s="124"/>
      <c r="BG16" s="124"/>
      <c r="BH16" s="124"/>
      <c r="BI16" s="124"/>
      <c r="BJ16" s="124"/>
      <c r="BK16" s="124"/>
      <c r="BL16" s="124">
        <f t="shared" si="23"/>
        <v>0</v>
      </c>
      <c r="BM16" s="188">
        <f t="shared" si="6"/>
        <v>10.6</v>
      </c>
      <c r="BN16" s="188">
        <f t="shared" si="7"/>
        <v>10</v>
      </c>
      <c r="BO16" s="188">
        <f t="shared" si="8"/>
        <v>11</v>
      </c>
      <c r="BP16" s="188">
        <f t="shared" si="9"/>
        <v>1800</v>
      </c>
      <c r="BQ16" s="188">
        <f t="shared" si="10"/>
        <v>19.100000000000001</v>
      </c>
      <c r="BR16" s="188">
        <f t="shared" si="24"/>
        <v>0</v>
      </c>
      <c r="BS16" s="188">
        <f t="shared" si="25"/>
        <v>312</v>
      </c>
      <c r="BT16" s="86">
        <v>4.2</v>
      </c>
      <c r="BU16" s="86">
        <v>400</v>
      </c>
      <c r="BV16" s="86">
        <v>2</v>
      </c>
      <c r="BW16" s="86">
        <v>15.6</v>
      </c>
      <c r="BX16" s="86">
        <v>380</v>
      </c>
      <c r="BY16" s="86">
        <v>70</v>
      </c>
      <c r="BZ16" s="86">
        <f t="shared" si="26"/>
        <v>450</v>
      </c>
      <c r="CA16" s="192"/>
      <c r="CB16" s="192"/>
      <c r="CC16" s="192"/>
      <c r="CD16" s="192"/>
      <c r="CE16" s="192"/>
      <c r="CF16" s="192"/>
      <c r="CG16" s="192">
        <f t="shared" si="27"/>
        <v>0</v>
      </c>
      <c r="CH16" s="4">
        <f>1340-526</f>
        <v>814</v>
      </c>
      <c r="CI16" s="4">
        <f>600-184</f>
        <v>416</v>
      </c>
      <c r="CJ16" s="55">
        <f t="shared" si="28"/>
        <v>150</v>
      </c>
      <c r="CK16" s="4">
        <v>90</v>
      </c>
      <c r="CL16" s="4">
        <f t="shared" si="11"/>
        <v>630</v>
      </c>
      <c r="CM16" s="22">
        <f t="shared" si="12"/>
        <v>80</v>
      </c>
      <c r="CN16" s="4">
        <v>0</v>
      </c>
      <c r="CO16" s="4">
        <v>100</v>
      </c>
      <c r="CP16" s="4">
        <f t="shared" si="29"/>
        <v>200</v>
      </c>
      <c r="CQ16" s="4"/>
      <c r="CR16" s="37">
        <f t="shared" si="30"/>
        <v>2480</v>
      </c>
      <c r="CS16" s="4">
        <v>2530</v>
      </c>
      <c r="CT16" s="181">
        <f t="shared" si="42"/>
        <v>39</v>
      </c>
      <c r="CU16" s="180">
        <f t="shared" si="31"/>
        <v>2530</v>
      </c>
      <c r="CV16" s="180">
        <f t="shared" si="32"/>
        <v>2569</v>
      </c>
      <c r="CW16" s="181">
        <f t="shared" si="33"/>
        <v>2480</v>
      </c>
      <c r="CX16" s="181"/>
      <c r="CY16" s="181">
        <f t="shared" si="34"/>
        <v>89</v>
      </c>
      <c r="CZ16" s="91">
        <v>3130</v>
      </c>
      <c r="DA16" s="190">
        <f t="shared" si="35"/>
        <v>630</v>
      </c>
      <c r="DB16" s="191">
        <f t="shared" si="36"/>
        <v>80</v>
      </c>
      <c r="DC16" s="190">
        <f t="shared" si="13"/>
        <v>312</v>
      </c>
      <c r="DD16" s="192">
        <f t="shared" si="37"/>
        <v>0</v>
      </c>
      <c r="DE16" s="192">
        <f t="shared" si="38"/>
        <v>450</v>
      </c>
      <c r="DF16" s="192">
        <f t="shared" si="39"/>
        <v>0</v>
      </c>
      <c r="DG16" s="192">
        <f t="shared" si="43"/>
        <v>200</v>
      </c>
      <c r="DH16" s="192">
        <f t="shared" si="14"/>
        <v>150</v>
      </c>
      <c r="DI16" s="191">
        <f t="shared" si="41"/>
        <v>1308</v>
      </c>
      <c r="DJ16" s="298">
        <f t="shared" si="15"/>
        <v>1658</v>
      </c>
      <c r="DK16" s="70">
        <v>6070</v>
      </c>
      <c r="DL16" s="182">
        <f t="shared" si="16"/>
        <v>1458</v>
      </c>
      <c r="DM16" s="184">
        <f t="shared" si="17"/>
        <v>762</v>
      </c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</row>
    <row r="17" spans="1:117" ht="15.6">
      <c r="A17" s="32">
        <f t="shared" si="18"/>
        <v>46157</v>
      </c>
      <c r="B17" s="4"/>
      <c r="C17" s="4">
        <v>3</v>
      </c>
      <c r="D17" s="4">
        <v>151</v>
      </c>
      <c r="E17" s="4"/>
      <c r="F17" s="4">
        <f t="shared" si="19"/>
        <v>154</v>
      </c>
      <c r="G17" s="4">
        <f t="shared" si="0"/>
        <v>0</v>
      </c>
      <c r="H17" s="4">
        <f t="shared" si="1"/>
        <v>90</v>
      </c>
      <c r="I17" s="4">
        <f t="shared" si="2"/>
        <v>4530</v>
      </c>
      <c r="J17" s="4">
        <f t="shared" si="3"/>
        <v>0</v>
      </c>
      <c r="K17" s="30">
        <f t="shared" si="4"/>
        <v>4620</v>
      </c>
      <c r="L17" s="58">
        <f t="shared" si="5"/>
        <v>1712</v>
      </c>
      <c r="M17" s="213">
        <v>3</v>
      </c>
      <c r="N17" s="185">
        <v>19.5</v>
      </c>
      <c r="O17" s="185">
        <v>16</v>
      </c>
      <c r="P17" s="185">
        <v>118.1</v>
      </c>
      <c r="Q17" s="185">
        <v>3.85</v>
      </c>
      <c r="R17" s="185">
        <v>39.049999999999997</v>
      </c>
      <c r="S17" s="301">
        <v>5.7</v>
      </c>
      <c r="T17" s="301">
        <v>52</v>
      </c>
      <c r="U17" s="301">
        <v>16.899999999999999</v>
      </c>
      <c r="V17" s="301">
        <v>350</v>
      </c>
      <c r="W17" s="185">
        <f t="shared" si="20"/>
        <v>75.2</v>
      </c>
      <c r="X17" s="207">
        <v>3.4</v>
      </c>
      <c r="Y17" s="207">
        <v>8.3000000000000007</v>
      </c>
      <c r="Z17" s="207">
        <v>9</v>
      </c>
      <c r="AA17" s="207">
        <v>117</v>
      </c>
      <c r="AB17" s="207">
        <v>3746.96</v>
      </c>
      <c r="AC17" s="207">
        <v>600</v>
      </c>
      <c r="AD17" s="185">
        <v>3.2</v>
      </c>
      <c r="AE17" s="185">
        <v>0</v>
      </c>
      <c r="AF17" s="185">
        <v>2</v>
      </c>
      <c r="AG17" s="185">
        <v>28</v>
      </c>
      <c r="AH17" s="185">
        <f>AG17*29</f>
        <v>812</v>
      </c>
      <c r="AI17" s="185">
        <v>90</v>
      </c>
      <c r="AJ17" s="207">
        <v>2</v>
      </c>
      <c r="AK17" s="207">
        <v>6.7</v>
      </c>
      <c r="AL17" s="207">
        <v>74</v>
      </c>
      <c r="AM17" s="207">
        <v>252</v>
      </c>
      <c r="AN17" s="282">
        <v>155</v>
      </c>
      <c r="AO17" s="282">
        <v>97</v>
      </c>
      <c r="AP17" s="282">
        <f t="shared" si="21"/>
        <v>0</v>
      </c>
      <c r="AQ17" s="282">
        <v>400</v>
      </c>
      <c r="AR17" s="62">
        <v>4</v>
      </c>
      <c r="AS17" s="62">
        <v>267</v>
      </c>
      <c r="AT17" s="62">
        <v>408</v>
      </c>
      <c r="AU17" s="60">
        <v>11.45</v>
      </c>
      <c r="AV17" s="62">
        <v>17.2</v>
      </c>
      <c r="AW17" s="62">
        <v>9.1</v>
      </c>
      <c r="AX17" s="62">
        <v>10</v>
      </c>
      <c r="AY17" s="62">
        <v>10</v>
      </c>
      <c r="AZ17" s="94">
        <v>1800</v>
      </c>
      <c r="BA17" s="94">
        <v>900</v>
      </c>
      <c r="BB17" s="95">
        <f t="shared" si="22"/>
        <v>900</v>
      </c>
      <c r="BC17" s="124"/>
      <c r="BD17" s="124"/>
      <c r="BE17" s="124"/>
      <c r="BF17" s="124"/>
      <c r="BG17" s="124"/>
      <c r="BH17" s="124"/>
      <c r="BI17" s="124"/>
      <c r="BJ17" s="124"/>
      <c r="BK17" s="124"/>
      <c r="BL17" s="124">
        <f t="shared" si="23"/>
        <v>0</v>
      </c>
      <c r="BM17" s="188">
        <f t="shared" si="6"/>
        <v>9.1</v>
      </c>
      <c r="BN17" s="188">
        <f t="shared" si="7"/>
        <v>10</v>
      </c>
      <c r="BO17" s="188">
        <f t="shared" si="8"/>
        <v>10</v>
      </c>
      <c r="BP17" s="188">
        <f t="shared" si="9"/>
        <v>1800</v>
      </c>
      <c r="BQ17" s="188">
        <f t="shared" si="10"/>
        <v>17.2</v>
      </c>
      <c r="BR17" s="188">
        <f t="shared" si="24"/>
        <v>408</v>
      </c>
      <c r="BS17" s="188">
        <f t="shared" si="25"/>
        <v>675</v>
      </c>
      <c r="BT17" s="86">
        <v>9.3000000000000007</v>
      </c>
      <c r="BU17" s="86">
        <v>900</v>
      </c>
      <c r="BV17" s="86">
        <v>2</v>
      </c>
      <c r="BW17" s="86">
        <v>15.2</v>
      </c>
      <c r="BX17" s="86">
        <v>180</v>
      </c>
      <c r="BY17" s="86">
        <v>90</v>
      </c>
      <c r="BZ17" s="86">
        <f t="shared" si="26"/>
        <v>270</v>
      </c>
      <c r="CA17" s="192"/>
      <c r="CB17" s="192"/>
      <c r="CC17" s="192"/>
      <c r="CD17" s="192"/>
      <c r="CE17" s="192"/>
      <c r="CF17" s="192"/>
      <c r="CG17" s="192">
        <f t="shared" si="27"/>
        <v>0</v>
      </c>
      <c r="CH17" s="13">
        <f>1883-523</f>
        <v>1360</v>
      </c>
      <c r="CI17" s="4">
        <f>782-167-180</f>
        <v>435</v>
      </c>
      <c r="CJ17" s="55">
        <f t="shared" si="28"/>
        <v>400</v>
      </c>
      <c r="CK17" s="4"/>
      <c r="CL17" s="4">
        <f t="shared" si="11"/>
        <v>600</v>
      </c>
      <c r="CM17" s="22">
        <f t="shared" si="12"/>
        <v>90</v>
      </c>
      <c r="CN17" s="4"/>
      <c r="CO17" s="4">
        <f>330-80</f>
        <v>250</v>
      </c>
      <c r="CP17" s="4">
        <f t="shared" si="29"/>
        <v>350</v>
      </c>
      <c r="CQ17" s="4"/>
      <c r="CR17" s="37">
        <f t="shared" si="30"/>
        <v>3485</v>
      </c>
      <c r="CS17" s="4">
        <v>3500</v>
      </c>
      <c r="CT17" s="181">
        <f t="shared" si="42"/>
        <v>89</v>
      </c>
      <c r="CU17" s="180">
        <f t="shared" si="31"/>
        <v>3500</v>
      </c>
      <c r="CV17" s="180">
        <f t="shared" si="32"/>
        <v>3589</v>
      </c>
      <c r="CW17" s="181">
        <f t="shared" si="33"/>
        <v>3485</v>
      </c>
      <c r="CX17" s="181"/>
      <c r="CY17" s="181">
        <f t="shared" si="34"/>
        <v>104</v>
      </c>
      <c r="CZ17" s="91">
        <v>3428</v>
      </c>
      <c r="DA17" s="190">
        <f t="shared" si="35"/>
        <v>600</v>
      </c>
      <c r="DB17" s="191">
        <f t="shared" si="36"/>
        <v>90</v>
      </c>
      <c r="DC17" s="190">
        <f t="shared" si="13"/>
        <v>675</v>
      </c>
      <c r="DD17" s="192">
        <f t="shared" si="37"/>
        <v>0</v>
      </c>
      <c r="DE17" s="192">
        <f t="shared" si="38"/>
        <v>270</v>
      </c>
      <c r="DF17" s="192">
        <f t="shared" si="39"/>
        <v>0</v>
      </c>
      <c r="DG17" s="192">
        <f t="shared" si="43"/>
        <v>350</v>
      </c>
      <c r="DH17" s="192">
        <f t="shared" si="14"/>
        <v>400</v>
      </c>
      <c r="DI17" s="191">
        <f t="shared" si="41"/>
        <v>1043</v>
      </c>
      <c r="DJ17" s="298">
        <f t="shared" si="15"/>
        <v>1793</v>
      </c>
      <c r="DK17" s="258">
        <v>6127</v>
      </c>
      <c r="DL17" s="182">
        <f t="shared" si="16"/>
        <v>1443</v>
      </c>
      <c r="DM17" s="184">
        <f t="shared" si="17"/>
        <v>945</v>
      </c>
    </row>
    <row r="18" spans="1:117" ht="15.6">
      <c r="A18" s="32">
        <f t="shared" si="18"/>
        <v>46158</v>
      </c>
      <c r="B18" s="4">
        <v>45</v>
      </c>
      <c r="C18" s="4">
        <v>0</v>
      </c>
      <c r="D18" s="4">
        <v>141</v>
      </c>
      <c r="E18" s="4"/>
      <c r="F18" s="4">
        <f t="shared" si="19"/>
        <v>186</v>
      </c>
      <c r="G18" s="4">
        <f t="shared" si="0"/>
        <v>1350</v>
      </c>
      <c r="H18" s="4">
        <f t="shared" si="1"/>
        <v>0</v>
      </c>
      <c r="I18" s="4">
        <f t="shared" si="2"/>
        <v>4230</v>
      </c>
      <c r="J18" s="4">
        <f t="shared" si="3"/>
        <v>0</v>
      </c>
      <c r="K18" s="30">
        <f t="shared" si="4"/>
        <v>5580</v>
      </c>
      <c r="L18" s="58">
        <f t="shared" si="5"/>
        <v>2067</v>
      </c>
      <c r="M18" s="213">
        <v>3</v>
      </c>
      <c r="N18" s="185">
        <v>20.5</v>
      </c>
      <c r="O18" s="185">
        <v>18</v>
      </c>
      <c r="P18" s="185">
        <v>125.7</v>
      </c>
      <c r="Q18" s="185">
        <v>3</v>
      </c>
      <c r="R18" s="185">
        <v>29.3</v>
      </c>
      <c r="S18" s="301">
        <v>5.7</v>
      </c>
      <c r="T18" s="301">
        <v>46</v>
      </c>
      <c r="U18" s="301">
        <v>15.7</v>
      </c>
      <c r="V18" s="301">
        <v>200</v>
      </c>
      <c r="W18" s="185">
        <f t="shared" ref="W18:W33" si="44">P18-Q18-R18</f>
        <v>93.4</v>
      </c>
      <c r="X18" s="207">
        <v>3.7</v>
      </c>
      <c r="Y18" s="207">
        <v>6.8</v>
      </c>
      <c r="Z18" s="207">
        <v>6</v>
      </c>
      <c r="AA18" s="207">
        <v>76</v>
      </c>
      <c r="AB18" s="207">
        <v>2653.19</v>
      </c>
      <c r="AC18" s="207">
        <v>345</v>
      </c>
      <c r="AD18" s="185">
        <v>1</v>
      </c>
      <c r="AE18" s="185">
        <v>1.4</v>
      </c>
      <c r="AF18" s="185">
        <v>2</v>
      </c>
      <c r="AG18" s="185">
        <v>25</v>
      </c>
      <c r="AH18" s="185">
        <f>AG18*29</f>
        <v>725</v>
      </c>
      <c r="AI18" s="185">
        <v>65</v>
      </c>
      <c r="AJ18" s="207">
        <v>2</v>
      </c>
      <c r="AK18" s="207">
        <v>14.7</v>
      </c>
      <c r="AL18" s="207">
        <v>96</v>
      </c>
      <c r="AM18" s="207">
        <v>339.5</v>
      </c>
      <c r="AN18" s="282">
        <v>193</v>
      </c>
      <c r="AO18" s="282">
        <v>146.5</v>
      </c>
      <c r="AP18" s="282">
        <f t="shared" si="21"/>
        <v>0</v>
      </c>
      <c r="AQ18" s="282">
        <v>450</v>
      </c>
      <c r="AR18" s="62">
        <v>3</v>
      </c>
      <c r="AS18" s="62">
        <v>327</v>
      </c>
      <c r="AT18" s="62">
        <v>59</v>
      </c>
      <c r="AU18" s="60">
        <v>3.91</v>
      </c>
      <c r="AV18" s="62">
        <v>18.7</v>
      </c>
      <c r="AW18" s="62">
        <v>8.6999999999999993</v>
      </c>
      <c r="AX18" s="62">
        <v>9</v>
      </c>
      <c r="AY18" s="62">
        <v>9</v>
      </c>
      <c r="AZ18" s="94">
        <v>1800</v>
      </c>
      <c r="BA18" s="94">
        <v>900</v>
      </c>
      <c r="BB18" s="95">
        <f t="shared" si="22"/>
        <v>900</v>
      </c>
      <c r="BC18" s="124"/>
      <c r="BD18" s="124"/>
      <c r="BE18" s="124"/>
      <c r="BF18" s="124"/>
      <c r="BG18" s="124"/>
      <c r="BH18" s="124"/>
      <c r="BI18" s="124"/>
      <c r="BJ18" s="124"/>
      <c r="BK18" s="124"/>
      <c r="BL18" s="124">
        <f t="shared" si="23"/>
        <v>0</v>
      </c>
      <c r="BM18" s="188">
        <f t="shared" si="6"/>
        <v>8.6999999999999993</v>
      </c>
      <c r="BN18" s="188">
        <f t="shared" si="7"/>
        <v>9</v>
      </c>
      <c r="BO18" s="188">
        <f t="shared" si="8"/>
        <v>9</v>
      </c>
      <c r="BP18" s="188">
        <f t="shared" si="9"/>
        <v>1800</v>
      </c>
      <c r="BQ18" s="188">
        <f t="shared" si="10"/>
        <v>18.7</v>
      </c>
      <c r="BR18" s="188">
        <f t="shared" si="24"/>
        <v>59</v>
      </c>
      <c r="BS18" s="188">
        <f t="shared" si="25"/>
        <v>386</v>
      </c>
      <c r="BT18" s="86">
        <v>10.7</v>
      </c>
      <c r="BU18" s="86">
        <v>900</v>
      </c>
      <c r="BV18" s="86">
        <v>2</v>
      </c>
      <c r="BW18" s="86">
        <v>17</v>
      </c>
      <c r="BX18" s="86">
        <v>350</v>
      </c>
      <c r="BY18" s="86">
        <v>120</v>
      </c>
      <c r="BZ18" s="86">
        <f t="shared" si="26"/>
        <v>470</v>
      </c>
      <c r="CA18" s="192"/>
      <c r="CB18" s="192"/>
      <c r="CC18" s="192"/>
      <c r="CD18" s="192"/>
      <c r="CE18" s="192"/>
      <c r="CF18" s="192"/>
      <c r="CG18" s="192">
        <f t="shared" si="27"/>
        <v>0</v>
      </c>
      <c r="CH18" s="13">
        <f>1533-287</f>
        <v>1246</v>
      </c>
      <c r="CI18" s="4">
        <f>486-123</f>
        <v>363</v>
      </c>
      <c r="CJ18" s="55">
        <f t="shared" si="28"/>
        <v>450</v>
      </c>
      <c r="CK18" s="4">
        <v>250</v>
      </c>
      <c r="CL18" s="4">
        <f t="shared" ref="CL18:CL33" si="45">AC18</f>
        <v>345</v>
      </c>
      <c r="CM18" s="22">
        <f t="shared" si="12"/>
        <v>65</v>
      </c>
      <c r="CN18" s="4">
        <v>0</v>
      </c>
      <c r="CO18" s="4">
        <v>200</v>
      </c>
      <c r="CP18" s="4">
        <f t="shared" si="29"/>
        <v>200</v>
      </c>
      <c r="CQ18" s="4"/>
      <c r="CR18" s="37">
        <f t="shared" si="30"/>
        <v>3119</v>
      </c>
      <c r="CS18" s="4">
        <v>3500</v>
      </c>
      <c r="CT18" s="181">
        <f t="shared" si="42"/>
        <v>104</v>
      </c>
      <c r="CU18" s="180">
        <f t="shared" si="31"/>
        <v>3500</v>
      </c>
      <c r="CV18" s="180">
        <f t="shared" si="32"/>
        <v>3604</v>
      </c>
      <c r="CW18" s="181">
        <f t="shared" si="33"/>
        <v>3119</v>
      </c>
      <c r="CX18" s="181"/>
      <c r="CY18" s="181">
        <f t="shared" si="34"/>
        <v>485</v>
      </c>
      <c r="CZ18" s="91">
        <v>3197</v>
      </c>
      <c r="DA18" s="190">
        <f t="shared" si="35"/>
        <v>345</v>
      </c>
      <c r="DB18" s="191">
        <f t="shared" si="36"/>
        <v>65</v>
      </c>
      <c r="DC18" s="190">
        <f t="shared" si="13"/>
        <v>386</v>
      </c>
      <c r="DD18" s="192">
        <f t="shared" si="37"/>
        <v>0</v>
      </c>
      <c r="DE18" s="192">
        <f t="shared" si="38"/>
        <v>470</v>
      </c>
      <c r="DF18" s="192">
        <f t="shared" si="39"/>
        <v>0</v>
      </c>
      <c r="DG18" s="192">
        <f t="shared" si="43"/>
        <v>200</v>
      </c>
      <c r="DH18" s="192">
        <f t="shared" si="14"/>
        <v>450</v>
      </c>
      <c r="DI18" s="191">
        <f t="shared" si="41"/>
        <v>1281</v>
      </c>
      <c r="DJ18" s="298">
        <f t="shared" si="15"/>
        <v>1931</v>
      </c>
      <c r="DL18" s="182">
        <f t="shared" si="16"/>
        <v>1731</v>
      </c>
      <c r="DM18" s="184">
        <f t="shared" si="17"/>
        <v>856</v>
      </c>
    </row>
    <row r="19" spans="1:117" ht="15.6">
      <c r="A19" s="32">
        <f t="shared" si="18"/>
        <v>46159</v>
      </c>
      <c r="B19" s="4"/>
      <c r="C19" s="4"/>
      <c r="D19" s="4"/>
      <c r="E19" s="4"/>
      <c r="F19" s="4">
        <f t="shared" si="19"/>
        <v>0</v>
      </c>
      <c r="G19" s="4">
        <f t="shared" si="0"/>
        <v>0</v>
      </c>
      <c r="H19" s="4">
        <f t="shared" si="1"/>
        <v>0</v>
      </c>
      <c r="I19" s="4">
        <f t="shared" si="2"/>
        <v>0</v>
      </c>
      <c r="J19" s="4">
        <f t="shared" si="3"/>
        <v>0</v>
      </c>
      <c r="K19" s="30">
        <f t="shared" si="4"/>
        <v>0</v>
      </c>
      <c r="L19" s="58">
        <f t="shared" si="5"/>
        <v>0</v>
      </c>
      <c r="M19" s="213"/>
      <c r="N19" s="185"/>
      <c r="O19" s="185"/>
      <c r="P19" s="185"/>
      <c r="Q19" s="185"/>
      <c r="R19" s="185"/>
      <c r="S19" s="301"/>
      <c r="T19" s="301"/>
      <c r="U19" s="301"/>
      <c r="V19" s="301"/>
      <c r="W19" s="185">
        <f>P19-Q19-R19</f>
        <v>0</v>
      </c>
      <c r="X19" s="207"/>
      <c r="Y19" s="207"/>
      <c r="Z19" s="207"/>
      <c r="AA19" s="207"/>
      <c r="AB19" s="207"/>
      <c r="AC19" s="207"/>
      <c r="AD19" s="185"/>
      <c r="AE19" s="185"/>
      <c r="AF19" s="185"/>
      <c r="AG19" s="185"/>
      <c r="AH19" s="185">
        <f t="shared" ref="AH19:AH25" si="46">AG19*29</f>
        <v>0</v>
      </c>
      <c r="AI19" s="185"/>
      <c r="AJ19" s="207"/>
      <c r="AK19" s="207"/>
      <c r="AL19" s="207"/>
      <c r="AM19" s="207"/>
      <c r="AN19" s="282"/>
      <c r="AO19" s="282"/>
      <c r="AP19" s="282">
        <f t="shared" si="21"/>
        <v>0</v>
      </c>
      <c r="AQ19" s="282"/>
      <c r="AR19" s="62"/>
      <c r="AS19" s="62"/>
      <c r="AT19" s="62"/>
      <c r="AU19" s="60"/>
      <c r="AV19" s="62"/>
      <c r="AW19" s="62"/>
      <c r="AX19" s="62"/>
      <c r="AY19" s="62"/>
      <c r="AZ19" s="94"/>
      <c r="BA19" s="94"/>
      <c r="BB19" s="95">
        <f t="shared" si="22"/>
        <v>0</v>
      </c>
      <c r="BC19" s="124"/>
      <c r="BD19" s="124"/>
      <c r="BE19" s="124"/>
      <c r="BF19" s="124"/>
      <c r="BG19" s="124"/>
      <c r="BH19" s="124"/>
      <c r="BI19" s="124"/>
      <c r="BJ19" s="124"/>
      <c r="BK19" s="124"/>
      <c r="BL19" s="124">
        <f t="shared" si="23"/>
        <v>0</v>
      </c>
      <c r="BM19" s="188">
        <f t="shared" si="6"/>
        <v>0</v>
      </c>
      <c r="BN19" s="188">
        <f t="shared" si="7"/>
        <v>0</v>
      </c>
      <c r="BO19" s="188">
        <f t="shared" si="8"/>
        <v>0</v>
      </c>
      <c r="BP19" s="188">
        <f t="shared" si="9"/>
        <v>0</v>
      </c>
      <c r="BQ19" s="188">
        <f t="shared" si="10"/>
        <v>0</v>
      </c>
      <c r="BR19" s="188">
        <f t="shared" si="24"/>
        <v>0</v>
      </c>
      <c r="BS19" s="188">
        <f t="shared" si="25"/>
        <v>0</v>
      </c>
      <c r="BT19" s="87"/>
      <c r="BU19" s="87"/>
      <c r="BV19" s="86"/>
      <c r="BW19" s="86"/>
      <c r="BX19" s="86"/>
      <c r="BY19" s="87"/>
      <c r="BZ19" s="86">
        <f t="shared" si="26"/>
        <v>0</v>
      </c>
      <c r="CA19" s="192"/>
      <c r="CB19" s="192"/>
      <c r="CC19" s="192"/>
      <c r="CD19" s="192"/>
      <c r="CE19" s="192"/>
      <c r="CF19" s="192"/>
      <c r="CG19" s="192">
        <f t="shared" si="27"/>
        <v>0</v>
      </c>
      <c r="CH19" s="4"/>
      <c r="CI19" s="4"/>
      <c r="CJ19" s="55">
        <f t="shared" si="28"/>
        <v>0</v>
      </c>
      <c r="CK19" s="4"/>
      <c r="CL19" s="4">
        <f t="shared" si="45"/>
        <v>0</v>
      </c>
      <c r="CM19" s="22">
        <f t="shared" si="12"/>
        <v>0</v>
      </c>
      <c r="CN19" s="4"/>
      <c r="CO19" s="4"/>
      <c r="CP19" s="4">
        <f t="shared" si="29"/>
        <v>0</v>
      </c>
      <c r="CQ19" s="4"/>
      <c r="CR19" s="37">
        <f t="shared" si="30"/>
        <v>0</v>
      </c>
      <c r="CS19" s="4"/>
      <c r="CT19" s="181">
        <f t="shared" si="42"/>
        <v>485</v>
      </c>
      <c r="CU19" s="180">
        <f t="shared" si="31"/>
        <v>0</v>
      </c>
      <c r="CV19" s="180">
        <f t="shared" si="32"/>
        <v>485</v>
      </c>
      <c r="CW19" s="181">
        <f t="shared" si="33"/>
        <v>0</v>
      </c>
      <c r="CX19" s="181"/>
      <c r="CY19" s="181">
        <f t="shared" si="34"/>
        <v>485</v>
      </c>
      <c r="CZ19" s="91">
        <v>0</v>
      </c>
      <c r="DA19" s="190">
        <f t="shared" si="35"/>
        <v>0</v>
      </c>
      <c r="DB19" s="191">
        <f t="shared" si="36"/>
        <v>0</v>
      </c>
      <c r="DC19" s="190">
        <f t="shared" si="13"/>
        <v>0</v>
      </c>
      <c r="DD19" s="192">
        <f t="shared" si="37"/>
        <v>0</v>
      </c>
      <c r="DE19" s="192">
        <f t="shared" si="38"/>
        <v>0</v>
      </c>
      <c r="DF19" s="192">
        <f t="shared" si="39"/>
        <v>0</v>
      </c>
      <c r="DG19" s="192">
        <f t="shared" si="43"/>
        <v>0</v>
      </c>
      <c r="DH19" s="192">
        <f t="shared" si="14"/>
        <v>0</v>
      </c>
      <c r="DI19" s="191">
        <f t="shared" si="41"/>
        <v>0</v>
      </c>
      <c r="DJ19" s="298">
        <f t="shared" si="15"/>
        <v>0</v>
      </c>
      <c r="DK19" s="259"/>
      <c r="DL19" s="182">
        <f t="shared" si="16"/>
        <v>0</v>
      </c>
      <c r="DM19" s="184">
        <f t="shared" si="17"/>
        <v>0</v>
      </c>
    </row>
    <row r="20" spans="1:117" ht="15.6">
      <c r="A20" s="40">
        <f t="shared" si="18"/>
        <v>46160</v>
      </c>
      <c r="B20" s="25">
        <v>86</v>
      </c>
      <c r="C20" s="25">
        <v>0</v>
      </c>
      <c r="D20" s="25">
        <v>66</v>
      </c>
      <c r="E20" s="25"/>
      <c r="F20" s="4">
        <f t="shared" si="19"/>
        <v>152</v>
      </c>
      <c r="G20" s="25">
        <f t="shared" si="0"/>
        <v>2580</v>
      </c>
      <c r="H20" s="25">
        <f t="shared" si="1"/>
        <v>0</v>
      </c>
      <c r="I20" s="25">
        <f t="shared" si="2"/>
        <v>1980</v>
      </c>
      <c r="J20" s="25">
        <f t="shared" si="3"/>
        <v>0</v>
      </c>
      <c r="K20" s="12">
        <f t="shared" si="4"/>
        <v>4560</v>
      </c>
      <c r="L20" s="58">
        <f t="shared" si="5"/>
        <v>1689</v>
      </c>
      <c r="M20" s="212">
        <v>3</v>
      </c>
      <c r="N20" s="185">
        <v>19</v>
      </c>
      <c r="O20" s="185">
        <v>18</v>
      </c>
      <c r="P20" s="185">
        <v>123</v>
      </c>
      <c r="Q20" s="185">
        <v>0</v>
      </c>
      <c r="R20" s="185">
        <v>21.5</v>
      </c>
      <c r="S20" s="301">
        <v>4.9000000000000004</v>
      </c>
      <c r="T20" s="301">
        <v>33</v>
      </c>
      <c r="U20" s="301">
        <v>12.4</v>
      </c>
      <c r="V20" s="301">
        <v>550</v>
      </c>
      <c r="W20" s="185">
        <f>P20-Q20-R20</f>
        <v>101.5</v>
      </c>
      <c r="X20" s="207">
        <v>0</v>
      </c>
      <c r="Y20" s="207">
        <v>14.8</v>
      </c>
      <c r="Z20" s="207">
        <v>6</v>
      </c>
      <c r="AA20" s="207">
        <v>97</v>
      </c>
      <c r="AB20" s="207">
        <v>2987.82</v>
      </c>
      <c r="AC20" s="207">
        <v>465</v>
      </c>
      <c r="AD20" s="185"/>
      <c r="AE20" s="185"/>
      <c r="AF20" s="185"/>
      <c r="AG20" s="185"/>
      <c r="AH20" s="185">
        <f t="shared" si="46"/>
        <v>0</v>
      </c>
      <c r="AI20" s="185"/>
      <c r="AJ20" s="207">
        <v>1</v>
      </c>
      <c r="AK20" s="207">
        <v>1</v>
      </c>
      <c r="AL20" s="207">
        <v>8</v>
      </c>
      <c r="AM20" s="207">
        <v>30.5</v>
      </c>
      <c r="AN20" s="282">
        <v>0</v>
      </c>
      <c r="AO20" s="282">
        <v>0</v>
      </c>
      <c r="AP20" s="282">
        <f t="shared" si="21"/>
        <v>30.5</v>
      </c>
      <c r="AQ20" s="285">
        <v>0</v>
      </c>
      <c r="AR20" s="99">
        <v>3</v>
      </c>
      <c r="AS20" s="99">
        <v>260</v>
      </c>
      <c r="AT20" s="99">
        <v>0</v>
      </c>
      <c r="AU20" s="100">
        <v>0.16</v>
      </c>
      <c r="AV20" s="99">
        <v>15.9</v>
      </c>
      <c r="AW20" s="99">
        <v>10.01</v>
      </c>
      <c r="AX20" s="99">
        <v>11</v>
      </c>
      <c r="AY20" s="99">
        <v>11</v>
      </c>
      <c r="AZ20" s="101">
        <v>1000</v>
      </c>
      <c r="BA20" s="94">
        <v>500</v>
      </c>
      <c r="BB20" s="95">
        <f t="shared" si="22"/>
        <v>500</v>
      </c>
      <c r="BC20" s="124"/>
      <c r="BD20" s="124"/>
      <c r="BE20" s="124"/>
      <c r="BF20" s="126"/>
      <c r="BG20" s="126"/>
      <c r="BH20" s="126"/>
      <c r="BI20" s="126"/>
      <c r="BJ20" s="126"/>
      <c r="BK20" s="126"/>
      <c r="BL20" s="124">
        <f t="shared" si="23"/>
        <v>0</v>
      </c>
      <c r="BM20" s="188">
        <f t="shared" si="6"/>
        <v>10.01</v>
      </c>
      <c r="BN20" s="188">
        <f t="shared" si="7"/>
        <v>11</v>
      </c>
      <c r="BO20" s="188">
        <f t="shared" si="8"/>
        <v>11</v>
      </c>
      <c r="BP20" s="188">
        <f t="shared" si="9"/>
        <v>1000</v>
      </c>
      <c r="BQ20" s="188">
        <f t="shared" si="10"/>
        <v>15.9</v>
      </c>
      <c r="BR20" s="188">
        <f t="shared" si="24"/>
        <v>0</v>
      </c>
      <c r="BS20" s="188">
        <f t="shared" si="25"/>
        <v>260</v>
      </c>
      <c r="BT20" s="87">
        <v>3.4</v>
      </c>
      <c r="BU20" s="87">
        <v>500</v>
      </c>
      <c r="BV20" s="86">
        <v>0</v>
      </c>
      <c r="BW20" s="86">
        <v>0</v>
      </c>
      <c r="BX20" s="86">
        <v>0</v>
      </c>
      <c r="BY20" s="87">
        <v>50</v>
      </c>
      <c r="BZ20" s="86">
        <f t="shared" si="26"/>
        <v>50</v>
      </c>
      <c r="CA20" s="319"/>
      <c r="CB20" s="319"/>
      <c r="CC20" s="319"/>
      <c r="CD20" s="319"/>
      <c r="CE20" s="319"/>
      <c r="CF20" s="319"/>
      <c r="CG20" s="192">
        <f t="shared" si="27"/>
        <v>0</v>
      </c>
      <c r="CH20" s="25">
        <f>1810+60-175</f>
        <v>1695</v>
      </c>
      <c r="CI20" s="25">
        <f>732-290</f>
        <v>442</v>
      </c>
      <c r="CJ20" s="55">
        <f t="shared" si="28"/>
        <v>0</v>
      </c>
      <c r="CK20" s="25">
        <v>132</v>
      </c>
      <c r="CL20" s="4">
        <f t="shared" si="45"/>
        <v>465</v>
      </c>
      <c r="CM20" s="22">
        <f t="shared" si="12"/>
        <v>0</v>
      </c>
      <c r="CN20" s="25">
        <v>0</v>
      </c>
      <c r="CO20" s="25">
        <v>200</v>
      </c>
      <c r="CP20" s="4">
        <f t="shared" si="29"/>
        <v>550</v>
      </c>
      <c r="CQ20" s="4"/>
      <c r="CR20" s="37">
        <f t="shared" si="30"/>
        <v>3484</v>
      </c>
      <c r="CS20" s="25">
        <v>3000</v>
      </c>
      <c r="CT20" s="181">
        <f t="shared" si="42"/>
        <v>485</v>
      </c>
      <c r="CU20" s="180">
        <f t="shared" si="31"/>
        <v>3000</v>
      </c>
      <c r="CV20" s="180">
        <f t="shared" si="32"/>
        <v>3485</v>
      </c>
      <c r="CW20" s="181">
        <f t="shared" si="33"/>
        <v>3484</v>
      </c>
      <c r="CX20" s="181"/>
      <c r="CY20" s="181">
        <f t="shared" si="34"/>
        <v>1</v>
      </c>
      <c r="CZ20" s="91">
        <v>2920</v>
      </c>
      <c r="DA20" s="190">
        <f t="shared" si="35"/>
        <v>465</v>
      </c>
      <c r="DB20" s="191">
        <f t="shared" si="36"/>
        <v>0</v>
      </c>
      <c r="DC20" s="190">
        <f t="shared" si="13"/>
        <v>260</v>
      </c>
      <c r="DD20" s="192">
        <f t="shared" si="37"/>
        <v>0</v>
      </c>
      <c r="DE20" s="192">
        <f t="shared" si="38"/>
        <v>50</v>
      </c>
      <c r="DF20" s="192">
        <f t="shared" si="39"/>
        <v>0</v>
      </c>
      <c r="DG20" s="192">
        <f t="shared" si="43"/>
        <v>550</v>
      </c>
      <c r="DH20" s="192">
        <f t="shared" si="14"/>
        <v>0</v>
      </c>
      <c r="DI20" s="191">
        <f t="shared" si="41"/>
        <v>1595</v>
      </c>
      <c r="DJ20" s="298">
        <f t="shared" si="15"/>
        <v>2145</v>
      </c>
      <c r="DK20" s="70">
        <v>6603</v>
      </c>
      <c r="DL20" s="182">
        <f t="shared" si="16"/>
        <v>1595</v>
      </c>
      <c r="DM20" s="184">
        <f t="shared" si="17"/>
        <v>310</v>
      </c>
    </row>
    <row r="21" spans="1:117" s="42" customFormat="1" ht="15.6">
      <c r="A21" s="41">
        <f t="shared" si="18"/>
        <v>46161</v>
      </c>
      <c r="B21" s="4">
        <v>28</v>
      </c>
      <c r="C21" s="4">
        <v>44</v>
      </c>
      <c r="D21" s="4">
        <v>74</v>
      </c>
      <c r="E21" s="4"/>
      <c r="F21" s="4">
        <f t="shared" si="19"/>
        <v>146</v>
      </c>
      <c r="G21" s="4">
        <f t="shared" si="0"/>
        <v>840</v>
      </c>
      <c r="H21" s="4">
        <f t="shared" si="1"/>
        <v>1320</v>
      </c>
      <c r="I21" s="4">
        <f t="shared" si="2"/>
        <v>2220</v>
      </c>
      <c r="J21" s="4">
        <f t="shared" si="3"/>
        <v>0</v>
      </c>
      <c r="K21" s="30">
        <f t="shared" si="4"/>
        <v>4380</v>
      </c>
      <c r="L21" s="58">
        <f t="shared" si="5"/>
        <v>1623</v>
      </c>
      <c r="M21" s="213">
        <v>3</v>
      </c>
      <c r="N21" s="185">
        <v>21.5</v>
      </c>
      <c r="O21" s="185">
        <v>20</v>
      </c>
      <c r="P21" s="185">
        <v>151.5</v>
      </c>
      <c r="Q21" s="185">
        <v>6</v>
      </c>
      <c r="R21" s="185">
        <v>38.15</v>
      </c>
      <c r="S21" s="301">
        <v>6.3</v>
      </c>
      <c r="T21" s="301">
        <v>42</v>
      </c>
      <c r="U21" s="301">
        <v>19.7</v>
      </c>
      <c r="V21" s="301">
        <v>257</v>
      </c>
      <c r="W21" s="185">
        <f t="shared" si="44"/>
        <v>107.35</v>
      </c>
      <c r="X21" s="207">
        <v>2.1</v>
      </c>
      <c r="Y21" s="207">
        <v>9.1</v>
      </c>
      <c r="Z21" s="207">
        <v>6</v>
      </c>
      <c r="AA21" s="207">
        <v>74</v>
      </c>
      <c r="AB21" s="207">
        <v>2355.9899999999998</v>
      </c>
      <c r="AC21" s="207">
        <v>170</v>
      </c>
      <c r="AD21" s="185">
        <v>3.2</v>
      </c>
      <c r="AE21" s="185"/>
      <c r="AF21" s="185">
        <v>3</v>
      </c>
      <c r="AG21" s="185">
        <v>24</v>
      </c>
      <c r="AH21" s="185">
        <f t="shared" si="46"/>
        <v>696</v>
      </c>
      <c r="AI21" s="185">
        <v>80</v>
      </c>
      <c r="AJ21" s="207">
        <v>2</v>
      </c>
      <c r="AK21" s="207">
        <v>6</v>
      </c>
      <c r="AL21" s="207">
        <v>39</v>
      </c>
      <c r="AM21" s="207">
        <v>132.19999999999999</v>
      </c>
      <c r="AN21" s="282">
        <v>48</v>
      </c>
      <c r="AO21" s="282">
        <v>42.2</v>
      </c>
      <c r="AP21" s="282">
        <f t="shared" si="21"/>
        <v>41.999999999999986</v>
      </c>
      <c r="AQ21" s="282">
        <v>0</v>
      </c>
      <c r="AR21" s="62">
        <v>4</v>
      </c>
      <c r="AS21" s="62">
        <v>507</v>
      </c>
      <c r="AT21" s="62">
        <v>0</v>
      </c>
      <c r="AU21" s="60">
        <v>0</v>
      </c>
      <c r="AV21" s="62">
        <v>27.7</v>
      </c>
      <c r="AW21" s="62">
        <v>9.64</v>
      </c>
      <c r="AX21" s="62">
        <v>10</v>
      </c>
      <c r="AY21" s="62">
        <v>10</v>
      </c>
      <c r="AZ21" s="94">
        <v>1800</v>
      </c>
      <c r="BA21" s="94">
        <v>900</v>
      </c>
      <c r="BB21" s="95">
        <f t="shared" si="22"/>
        <v>900</v>
      </c>
      <c r="BC21" s="124"/>
      <c r="BD21" s="124"/>
      <c r="BE21" s="124"/>
      <c r="BF21" s="124"/>
      <c r="BG21" s="124"/>
      <c r="BH21" s="124"/>
      <c r="BI21" s="124"/>
      <c r="BJ21" s="124"/>
      <c r="BK21" s="124"/>
      <c r="BL21" s="124">
        <f t="shared" si="23"/>
        <v>0</v>
      </c>
      <c r="BM21" s="188">
        <f t="shared" si="6"/>
        <v>9.64</v>
      </c>
      <c r="BN21" s="188">
        <f t="shared" si="7"/>
        <v>10</v>
      </c>
      <c r="BO21" s="188">
        <f t="shared" si="8"/>
        <v>10</v>
      </c>
      <c r="BP21" s="188">
        <f t="shared" si="9"/>
        <v>1800</v>
      </c>
      <c r="BQ21" s="188">
        <f t="shared" si="10"/>
        <v>27.7</v>
      </c>
      <c r="BR21" s="188">
        <f t="shared" si="24"/>
        <v>0</v>
      </c>
      <c r="BS21" s="188">
        <f t="shared" si="25"/>
        <v>507</v>
      </c>
      <c r="BT21" s="86">
        <v>7.6</v>
      </c>
      <c r="BU21" s="86">
        <v>900</v>
      </c>
      <c r="BV21" s="86">
        <v>1</v>
      </c>
      <c r="BW21" s="86">
        <v>10.7</v>
      </c>
      <c r="BX21" s="86">
        <v>130</v>
      </c>
      <c r="BY21" s="86">
        <v>70</v>
      </c>
      <c r="BZ21" s="86">
        <f t="shared" si="26"/>
        <v>200</v>
      </c>
      <c r="CA21" s="192"/>
      <c r="CB21" s="192"/>
      <c r="CC21" s="192"/>
      <c r="CD21" s="192"/>
      <c r="CE21" s="192"/>
      <c r="CF21" s="192"/>
      <c r="CG21" s="192">
        <f t="shared" si="27"/>
        <v>0</v>
      </c>
      <c r="CH21" s="4">
        <f>2380-66</f>
        <v>2314</v>
      </c>
      <c r="CI21" s="4">
        <f>669-184</f>
        <v>485</v>
      </c>
      <c r="CJ21" s="55">
        <f t="shared" si="28"/>
        <v>0</v>
      </c>
      <c r="CK21" s="4">
        <v>55</v>
      </c>
      <c r="CL21" s="4">
        <f t="shared" si="45"/>
        <v>170</v>
      </c>
      <c r="CM21" s="22">
        <f t="shared" si="12"/>
        <v>80</v>
      </c>
      <c r="CN21" s="4"/>
      <c r="CO21" s="4">
        <v>100</v>
      </c>
      <c r="CP21" s="4">
        <f t="shared" si="29"/>
        <v>257</v>
      </c>
      <c r="CQ21" s="4"/>
      <c r="CR21" s="37">
        <f t="shared" si="30"/>
        <v>3461</v>
      </c>
      <c r="CS21" s="4">
        <v>3550</v>
      </c>
      <c r="CT21" s="181">
        <f t="shared" si="42"/>
        <v>1</v>
      </c>
      <c r="CU21" s="180">
        <f t="shared" si="31"/>
        <v>3550</v>
      </c>
      <c r="CV21" s="180">
        <f t="shared" si="32"/>
        <v>3551</v>
      </c>
      <c r="CW21" s="181">
        <f t="shared" si="33"/>
        <v>3461</v>
      </c>
      <c r="CX21" s="181"/>
      <c r="CY21" s="181">
        <f t="shared" si="34"/>
        <v>90</v>
      </c>
      <c r="CZ21" s="91">
        <v>3030</v>
      </c>
      <c r="DA21" s="190">
        <f t="shared" si="35"/>
        <v>170</v>
      </c>
      <c r="DB21" s="191">
        <f t="shared" si="36"/>
        <v>80</v>
      </c>
      <c r="DC21" s="190">
        <f t="shared" si="13"/>
        <v>507</v>
      </c>
      <c r="DD21" s="192">
        <f t="shared" si="37"/>
        <v>0</v>
      </c>
      <c r="DE21" s="192">
        <f t="shared" si="38"/>
        <v>200</v>
      </c>
      <c r="DF21" s="192">
        <f t="shared" si="39"/>
        <v>0</v>
      </c>
      <c r="DG21" s="192">
        <f t="shared" si="43"/>
        <v>257</v>
      </c>
      <c r="DH21" s="192">
        <f t="shared" si="14"/>
        <v>0</v>
      </c>
      <c r="DI21" s="191">
        <f t="shared" si="41"/>
        <v>1816</v>
      </c>
      <c r="DJ21" s="298">
        <f t="shared" si="15"/>
        <v>2073</v>
      </c>
      <c r="DK21" s="70"/>
      <c r="DL21" s="182">
        <f t="shared" si="16"/>
        <v>1816</v>
      </c>
      <c r="DM21" s="184">
        <f t="shared" si="17"/>
        <v>707</v>
      </c>
    </row>
    <row r="22" spans="1:117" ht="15.6">
      <c r="A22" s="32">
        <f t="shared" si="18"/>
        <v>46162</v>
      </c>
      <c r="B22" s="10"/>
      <c r="C22" s="4">
        <v>44</v>
      </c>
      <c r="D22" s="4">
        <v>29</v>
      </c>
      <c r="E22" s="4"/>
      <c r="F22" s="4">
        <f t="shared" si="19"/>
        <v>73</v>
      </c>
      <c r="G22" s="4">
        <f t="shared" si="0"/>
        <v>0</v>
      </c>
      <c r="H22" s="4">
        <f t="shared" si="1"/>
        <v>1320</v>
      </c>
      <c r="I22" s="4">
        <f t="shared" si="2"/>
        <v>870</v>
      </c>
      <c r="J22" s="4">
        <f t="shared" si="3"/>
        <v>0</v>
      </c>
      <c r="K22" s="30">
        <f t="shared" si="4"/>
        <v>2190</v>
      </c>
      <c r="L22" s="58">
        <f t="shared" si="5"/>
        <v>812</v>
      </c>
      <c r="M22" s="213">
        <v>2</v>
      </c>
      <c r="N22" s="185">
        <v>9.3000000000000007</v>
      </c>
      <c r="O22" s="185">
        <v>14</v>
      </c>
      <c r="P22" s="185">
        <v>76.3</v>
      </c>
      <c r="Q22" s="185">
        <v>0</v>
      </c>
      <c r="R22" s="185"/>
      <c r="S22" s="301">
        <v>1</v>
      </c>
      <c r="T22" s="301">
        <v>4</v>
      </c>
      <c r="U22" s="301">
        <v>2.9</v>
      </c>
      <c r="V22" s="301">
        <v>0</v>
      </c>
      <c r="W22" s="185">
        <f t="shared" si="44"/>
        <v>76.3</v>
      </c>
      <c r="X22" s="207">
        <v>0</v>
      </c>
      <c r="Y22" s="207">
        <v>0</v>
      </c>
      <c r="Z22" s="207">
        <v>0</v>
      </c>
      <c r="AA22" s="207">
        <v>0</v>
      </c>
      <c r="AB22" s="207">
        <v>0</v>
      </c>
      <c r="AC22" s="207">
        <v>0</v>
      </c>
      <c r="AD22" s="185">
        <v>0</v>
      </c>
      <c r="AE22" s="185">
        <v>0</v>
      </c>
      <c r="AF22" s="185">
        <v>0</v>
      </c>
      <c r="AG22" s="185">
        <v>0</v>
      </c>
      <c r="AH22" s="185">
        <f t="shared" si="46"/>
        <v>0</v>
      </c>
      <c r="AI22" s="185">
        <v>0</v>
      </c>
      <c r="AJ22" s="207">
        <v>0</v>
      </c>
      <c r="AK22" s="207">
        <v>0</v>
      </c>
      <c r="AL22" s="207">
        <v>0</v>
      </c>
      <c r="AM22" s="207">
        <v>0</v>
      </c>
      <c r="AN22" s="282">
        <v>0</v>
      </c>
      <c r="AO22" s="282">
        <v>0</v>
      </c>
      <c r="AP22" s="282">
        <f t="shared" si="21"/>
        <v>0</v>
      </c>
      <c r="AQ22" s="282">
        <v>0</v>
      </c>
      <c r="AR22" s="62">
        <v>2</v>
      </c>
      <c r="AS22" s="62">
        <v>405</v>
      </c>
      <c r="AT22" s="62">
        <v>0</v>
      </c>
      <c r="AU22" s="60">
        <v>0</v>
      </c>
      <c r="AV22" s="62">
        <v>21.3</v>
      </c>
      <c r="AW22" s="62">
        <v>7.2</v>
      </c>
      <c r="AX22" s="62">
        <v>7</v>
      </c>
      <c r="AY22" s="62">
        <v>9</v>
      </c>
      <c r="AZ22" s="94">
        <v>1800</v>
      </c>
      <c r="BA22" s="94">
        <v>900</v>
      </c>
      <c r="BB22" s="95">
        <f t="shared" si="22"/>
        <v>900</v>
      </c>
      <c r="BC22" s="124"/>
      <c r="BD22" s="124"/>
      <c r="BE22" s="124"/>
      <c r="BF22" s="124"/>
      <c r="BG22" s="124"/>
      <c r="BH22" s="124"/>
      <c r="BI22" s="124"/>
      <c r="BJ22" s="124"/>
      <c r="BK22" s="124"/>
      <c r="BL22" s="124">
        <f t="shared" si="23"/>
        <v>0</v>
      </c>
      <c r="BM22" s="188">
        <f t="shared" si="6"/>
        <v>7.2</v>
      </c>
      <c r="BN22" s="188">
        <f t="shared" si="7"/>
        <v>7</v>
      </c>
      <c r="BO22" s="188">
        <f t="shared" si="8"/>
        <v>9</v>
      </c>
      <c r="BP22" s="188">
        <f t="shared" si="9"/>
        <v>1800</v>
      </c>
      <c r="BQ22" s="188">
        <f t="shared" si="10"/>
        <v>21.3</v>
      </c>
      <c r="BR22" s="188">
        <f t="shared" si="24"/>
        <v>0</v>
      </c>
      <c r="BS22" s="188">
        <f t="shared" si="25"/>
        <v>405</v>
      </c>
      <c r="BT22" s="86">
        <v>6.2</v>
      </c>
      <c r="BU22" s="86">
        <v>800</v>
      </c>
      <c r="BV22" s="86">
        <v>2</v>
      </c>
      <c r="BW22" s="86">
        <v>8.9</v>
      </c>
      <c r="BX22" s="86">
        <v>130</v>
      </c>
      <c r="BY22" s="86">
        <v>60</v>
      </c>
      <c r="BZ22" s="86">
        <f t="shared" si="26"/>
        <v>190</v>
      </c>
      <c r="CA22" s="192"/>
      <c r="CB22" s="192"/>
      <c r="CC22" s="192"/>
      <c r="CD22" s="192"/>
      <c r="CE22" s="192"/>
      <c r="CF22" s="192"/>
      <c r="CG22" s="192">
        <f t="shared" si="27"/>
        <v>0</v>
      </c>
      <c r="CH22" s="4">
        <v>930</v>
      </c>
      <c r="CI22" s="4">
        <f>555-80</f>
        <v>475</v>
      </c>
      <c r="CJ22" s="55">
        <f t="shared" si="28"/>
        <v>0</v>
      </c>
      <c r="CK22" s="4">
        <v>112</v>
      </c>
      <c r="CL22" s="4">
        <f t="shared" si="45"/>
        <v>0</v>
      </c>
      <c r="CM22" s="22">
        <f t="shared" si="12"/>
        <v>0</v>
      </c>
      <c r="CN22" s="4"/>
      <c r="CO22" s="4">
        <v>300</v>
      </c>
      <c r="CP22" s="4">
        <f t="shared" si="29"/>
        <v>0</v>
      </c>
      <c r="CQ22" s="4"/>
      <c r="CR22" s="37">
        <f t="shared" si="30"/>
        <v>1817</v>
      </c>
      <c r="CS22" s="4">
        <v>4000</v>
      </c>
      <c r="CT22" s="181">
        <f t="shared" si="42"/>
        <v>90</v>
      </c>
      <c r="CU22" s="180">
        <f t="shared" si="31"/>
        <v>4000</v>
      </c>
      <c r="CV22" s="180">
        <f t="shared" si="32"/>
        <v>4090</v>
      </c>
      <c r="CW22" s="181">
        <f t="shared" si="33"/>
        <v>1817</v>
      </c>
      <c r="CX22" s="181"/>
      <c r="CY22" s="181">
        <f t="shared" si="34"/>
        <v>2273</v>
      </c>
      <c r="CZ22" s="91">
        <v>1887</v>
      </c>
      <c r="DA22" s="190">
        <f t="shared" si="35"/>
        <v>0</v>
      </c>
      <c r="DB22" s="191">
        <f t="shared" si="36"/>
        <v>0</v>
      </c>
      <c r="DC22" s="190">
        <f t="shared" si="13"/>
        <v>405</v>
      </c>
      <c r="DD22" s="192">
        <f t="shared" si="37"/>
        <v>0</v>
      </c>
      <c r="DE22" s="192">
        <f t="shared" si="38"/>
        <v>190</v>
      </c>
      <c r="DF22" s="192">
        <f t="shared" si="39"/>
        <v>0</v>
      </c>
      <c r="DG22" s="192">
        <f t="shared" si="43"/>
        <v>0</v>
      </c>
      <c r="DH22" s="192">
        <f t="shared" si="14"/>
        <v>0</v>
      </c>
      <c r="DI22" s="191">
        <f t="shared" si="41"/>
        <v>1292</v>
      </c>
      <c r="DJ22" s="298">
        <f t="shared" si="15"/>
        <v>1292</v>
      </c>
      <c r="DK22" s="70">
        <v>6964</v>
      </c>
      <c r="DL22" s="182">
        <f t="shared" si="16"/>
        <v>1292</v>
      </c>
      <c r="DM22" s="184">
        <f t="shared" si="17"/>
        <v>595</v>
      </c>
    </row>
    <row r="23" spans="1:117" ht="15.6">
      <c r="A23" s="32">
        <f t="shared" si="18"/>
        <v>46163</v>
      </c>
      <c r="B23" s="10">
        <v>6</v>
      </c>
      <c r="C23" s="4">
        <v>68</v>
      </c>
      <c r="D23" s="4">
        <v>38</v>
      </c>
      <c r="E23" s="4"/>
      <c r="F23" s="4">
        <f t="shared" si="19"/>
        <v>112</v>
      </c>
      <c r="G23" s="11">
        <f t="shared" si="0"/>
        <v>180</v>
      </c>
      <c r="H23" s="4">
        <f t="shared" si="1"/>
        <v>2040</v>
      </c>
      <c r="I23" s="4">
        <f t="shared" si="2"/>
        <v>1140</v>
      </c>
      <c r="J23" s="4">
        <f t="shared" si="3"/>
        <v>0</v>
      </c>
      <c r="K23" s="30">
        <f t="shared" si="4"/>
        <v>3360</v>
      </c>
      <c r="L23" s="58">
        <f t="shared" si="5"/>
        <v>1245</v>
      </c>
      <c r="M23" s="213">
        <v>2</v>
      </c>
      <c r="N23" s="185">
        <v>14.7</v>
      </c>
      <c r="O23" s="185">
        <v>16</v>
      </c>
      <c r="P23" s="185">
        <v>115.9</v>
      </c>
      <c r="Q23" s="185">
        <v>6</v>
      </c>
      <c r="R23" s="185">
        <v>15.3</v>
      </c>
      <c r="S23" s="301">
        <v>4.8</v>
      </c>
      <c r="T23" s="301">
        <v>32</v>
      </c>
      <c r="U23" s="301">
        <v>13.5</v>
      </c>
      <c r="V23" s="301">
        <v>0</v>
      </c>
      <c r="W23" s="185">
        <f t="shared" si="44"/>
        <v>94.600000000000009</v>
      </c>
      <c r="X23" s="207">
        <v>0</v>
      </c>
      <c r="Y23" s="207">
        <v>11.4</v>
      </c>
      <c r="Z23" s="207">
        <v>6</v>
      </c>
      <c r="AA23" s="207">
        <v>96</v>
      </c>
      <c r="AB23" s="207">
        <v>2942.36</v>
      </c>
      <c r="AC23" s="207">
        <v>265</v>
      </c>
      <c r="AD23" s="185">
        <v>3.1</v>
      </c>
      <c r="AE23" s="185">
        <v>0</v>
      </c>
      <c r="AF23" s="185">
        <v>2</v>
      </c>
      <c r="AG23" s="185">
        <v>25</v>
      </c>
      <c r="AH23" s="185">
        <f t="shared" si="46"/>
        <v>725</v>
      </c>
      <c r="AI23" s="185">
        <v>110</v>
      </c>
      <c r="AJ23" s="207">
        <v>1</v>
      </c>
      <c r="AK23" s="207">
        <v>3.9</v>
      </c>
      <c r="AL23" s="207">
        <v>38</v>
      </c>
      <c r="AM23" s="207">
        <v>122.6</v>
      </c>
      <c r="AN23" s="282">
        <v>0</v>
      </c>
      <c r="AO23" s="282">
        <v>122.6</v>
      </c>
      <c r="AP23" s="282">
        <f t="shared" si="21"/>
        <v>0</v>
      </c>
      <c r="AQ23" s="282">
        <v>0</v>
      </c>
      <c r="AR23" s="62">
        <v>3</v>
      </c>
      <c r="AS23" s="62">
        <v>400</v>
      </c>
      <c r="AT23" s="62">
        <v>0</v>
      </c>
      <c r="AU23" s="60">
        <v>0</v>
      </c>
      <c r="AV23" s="62">
        <v>20.7</v>
      </c>
      <c r="AW23" s="62">
        <v>8.51</v>
      </c>
      <c r="AX23" s="62">
        <v>9</v>
      </c>
      <c r="AY23" s="62">
        <v>9</v>
      </c>
      <c r="AZ23" s="94">
        <v>1800</v>
      </c>
      <c r="BA23" s="94">
        <v>900</v>
      </c>
      <c r="BB23" s="95">
        <f t="shared" si="22"/>
        <v>900</v>
      </c>
      <c r="BC23" s="124"/>
      <c r="BD23" s="124"/>
      <c r="BE23" s="124"/>
      <c r="BF23" s="124"/>
      <c r="BG23" s="124"/>
      <c r="BH23" s="124"/>
      <c r="BI23" s="124"/>
      <c r="BJ23" s="124"/>
      <c r="BK23" s="124"/>
      <c r="BL23" s="124">
        <f t="shared" si="23"/>
        <v>0</v>
      </c>
      <c r="BM23" s="188">
        <f t="shared" si="6"/>
        <v>8.51</v>
      </c>
      <c r="BN23" s="188">
        <f t="shared" si="7"/>
        <v>9</v>
      </c>
      <c r="BO23" s="188">
        <f t="shared" si="8"/>
        <v>9</v>
      </c>
      <c r="BP23" s="188">
        <f t="shared" si="9"/>
        <v>1800</v>
      </c>
      <c r="BQ23" s="188">
        <f t="shared" si="10"/>
        <v>20.7</v>
      </c>
      <c r="BR23" s="188">
        <f t="shared" si="24"/>
        <v>0</v>
      </c>
      <c r="BS23" s="188">
        <f t="shared" si="25"/>
        <v>400</v>
      </c>
      <c r="BT23" s="86">
        <v>10.5</v>
      </c>
      <c r="BU23" s="86">
        <v>1200</v>
      </c>
      <c r="BV23" s="86">
        <v>2</v>
      </c>
      <c r="BW23" s="86">
        <v>10.9</v>
      </c>
      <c r="BX23" s="86">
        <v>180</v>
      </c>
      <c r="BY23" s="86">
        <v>115</v>
      </c>
      <c r="BZ23" s="86">
        <f t="shared" si="26"/>
        <v>295</v>
      </c>
      <c r="CA23" s="192"/>
      <c r="CB23" s="192"/>
      <c r="CC23" s="192"/>
      <c r="CD23" s="192"/>
      <c r="CE23" s="192"/>
      <c r="CF23" s="192"/>
      <c r="CG23" s="192">
        <f t="shared" si="27"/>
        <v>0</v>
      </c>
      <c r="CH23" s="4">
        <f>1820-242</f>
        <v>1578</v>
      </c>
      <c r="CI23" s="4">
        <f>459-133</f>
        <v>326</v>
      </c>
      <c r="CJ23" s="55">
        <f t="shared" si="28"/>
        <v>0</v>
      </c>
      <c r="CK23" s="4">
        <v>356</v>
      </c>
      <c r="CL23" s="4">
        <f t="shared" si="45"/>
        <v>265</v>
      </c>
      <c r="CM23" s="22">
        <f t="shared" si="12"/>
        <v>110</v>
      </c>
      <c r="CN23" s="4"/>
      <c r="CO23" s="4">
        <v>100</v>
      </c>
      <c r="CP23" s="4">
        <f t="shared" si="29"/>
        <v>0</v>
      </c>
      <c r="CQ23" s="4"/>
      <c r="CR23" s="37">
        <f t="shared" si="30"/>
        <v>2735</v>
      </c>
      <c r="CS23" s="4">
        <v>5218</v>
      </c>
      <c r="CT23" s="181">
        <f t="shared" si="42"/>
        <v>2273</v>
      </c>
      <c r="CU23" s="180">
        <f t="shared" si="31"/>
        <v>5218</v>
      </c>
      <c r="CV23" s="180">
        <f t="shared" si="32"/>
        <v>7491</v>
      </c>
      <c r="CW23" s="181">
        <f t="shared" si="33"/>
        <v>2735</v>
      </c>
      <c r="CX23" s="181"/>
      <c r="CY23" s="181">
        <f t="shared" si="34"/>
        <v>4756</v>
      </c>
      <c r="CZ23" s="91">
        <v>2384</v>
      </c>
      <c r="DA23" s="190">
        <f t="shared" si="35"/>
        <v>265</v>
      </c>
      <c r="DB23" s="191">
        <f t="shared" si="36"/>
        <v>110</v>
      </c>
      <c r="DC23" s="190">
        <f t="shared" si="13"/>
        <v>400</v>
      </c>
      <c r="DD23" s="192">
        <f t="shared" si="37"/>
        <v>0</v>
      </c>
      <c r="DE23" s="192">
        <f t="shared" si="38"/>
        <v>295</v>
      </c>
      <c r="DF23" s="192">
        <f t="shared" si="39"/>
        <v>0</v>
      </c>
      <c r="DG23" s="192">
        <f t="shared" si="43"/>
        <v>0</v>
      </c>
      <c r="DH23" s="192">
        <f t="shared" si="14"/>
        <v>0</v>
      </c>
      <c r="DI23" s="191">
        <f t="shared" si="41"/>
        <v>1314</v>
      </c>
      <c r="DJ23" s="298">
        <f t="shared" si="15"/>
        <v>1314</v>
      </c>
      <c r="DK23" s="70">
        <v>7315</v>
      </c>
      <c r="DL23" s="182">
        <f t="shared" si="16"/>
        <v>1314</v>
      </c>
      <c r="DM23" s="184">
        <f t="shared" si="17"/>
        <v>695</v>
      </c>
    </row>
    <row r="24" spans="1:117" ht="15.6">
      <c r="A24" s="32">
        <f t="shared" si="18"/>
        <v>46164</v>
      </c>
      <c r="B24" s="10">
        <v>25</v>
      </c>
      <c r="C24" s="4">
        <v>23</v>
      </c>
      <c r="D24" s="4"/>
      <c r="E24" s="4"/>
      <c r="F24" s="4">
        <f t="shared" si="19"/>
        <v>48</v>
      </c>
      <c r="G24" s="4">
        <f>B24*30</f>
        <v>750</v>
      </c>
      <c r="H24" s="4">
        <f t="shared" si="1"/>
        <v>690</v>
      </c>
      <c r="I24" s="4">
        <f t="shared" si="2"/>
        <v>0</v>
      </c>
      <c r="J24" s="4">
        <f t="shared" si="3"/>
        <v>0</v>
      </c>
      <c r="K24" s="30">
        <f t="shared" si="4"/>
        <v>1440</v>
      </c>
      <c r="L24" s="58">
        <f t="shared" si="5"/>
        <v>534</v>
      </c>
      <c r="M24" s="213">
        <v>2</v>
      </c>
      <c r="N24" s="185">
        <v>7.1</v>
      </c>
      <c r="O24" s="185">
        <v>12</v>
      </c>
      <c r="P24" s="185">
        <v>69.650000000000006</v>
      </c>
      <c r="Q24" s="185">
        <v>3</v>
      </c>
      <c r="R24" s="185">
        <v>20.100000000000001</v>
      </c>
      <c r="S24" s="301">
        <v>0</v>
      </c>
      <c r="T24" s="301">
        <v>0</v>
      </c>
      <c r="U24" s="301">
        <v>0</v>
      </c>
      <c r="V24" s="301">
        <v>0</v>
      </c>
      <c r="W24" s="185">
        <f t="shared" si="44"/>
        <v>46.550000000000004</v>
      </c>
      <c r="X24" s="207">
        <v>4.2</v>
      </c>
      <c r="Y24" s="207">
        <v>4.4000000000000004</v>
      </c>
      <c r="Z24" s="207">
        <v>7</v>
      </c>
      <c r="AA24" s="207">
        <v>52</v>
      </c>
      <c r="AB24" s="207">
        <v>1884.27</v>
      </c>
      <c r="AC24" s="207">
        <v>350</v>
      </c>
      <c r="AD24" s="185">
        <v>2</v>
      </c>
      <c r="AE24" s="185">
        <v>0</v>
      </c>
      <c r="AF24" s="185">
        <v>2</v>
      </c>
      <c r="AG24" s="185">
        <v>35</v>
      </c>
      <c r="AH24" s="185">
        <f t="shared" si="46"/>
        <v>1015</v>
      </c>
      <c r="AI24" s="185">
        <v>45</v>
      </c>
      <c r="AJ24" s="207">
        <v>1</v>
      </c>
      <c r="AK24" s="207">
        <v>6</v>
      </c>
      <c r="AL24" s="207">
        <v>36</v>
      </c>
      <c r="AM24" s="207">
        <v>216</v>
      </c>
      <c r="AN24" s="282">
        <v>150</v>
      </c>
      <c r="AO24" s="282"/>
      <c r="AP24" s="282">
        <f t="shared" si="21"/>
        <v>66</v>
      </c>
      <c r="AQ24" s="282">
        <v>318</v>
      </c>
      <c r="AR24" s="62">
        <v>0</v>
      </c>
      <c r="AS24" s="62">
        <v>0</v>
      </c>
      <c r="AT24" s="62">
        <v>0</v>
      </c>
      <c r="AU24" s="60">
        <v>0</v>
      </c>
      <c r="AV24" s="62">
        <v>0</v>
      </c>
      <c r="AW24" s="62">
        <v>0</v>
      </c>
      <c r="AX24" s="62">
        <v>0</v>
      </c>
      <c r="AY24" s="62">
        <v>0</v>
      </c>
      <c r="AZ24" s="94">
        <v>0</v>
      </c>
      <c r="BA24" s="94">
        <v>0</v>
      </c>
      <c r="BB24" s="95">
        <f t="shared" si="22"/>
        <v>0</v>
      </c>
      <c r="BC24" s="124"/>
      <c r="BD24" s="124"/>
      <c r="BE24" s="124"/>
      <c r="BF24" s="124"/>
      <c r="BG24" s="124"/>
      <c r="BH24" s="124"/>
      <c r="BI24" s="124"/>
      <c r="BJ24" s="124"/>
      <c r="BK24" s="124"/>
      <c r="BL24" s="124">
        <f t="shared" si="23"/>
        <v>0</v>
      </c>
      <c r="BM24" s="188">
        <f t="shared" si="6"/>
        <v>0</v>
      </c>
      <c r="BN24" s="188">
        <f t="shared" si="7"/>
        <v>0</v>
      </c>
      <c r="BO24" s="188">
        <f t="shared" si="8"/>
        <v>0</v>
      </c>
      <c r="BP24" s="188">
        <f t="shared" si="9"/>
        <v>0</v>
      </c>
      <c r="BQ24" s="188">
        <f t="shared" si="10"/>
        <v>0</v>
      </c>
      <c r="BR24" s="188">
        <f t="shared" si="24"/>
        <v>0</v>
      </c>
      <c r="BS24" s="188">
        <f t="shared" si="25"/>
        <v>0</v>
      </c>
      <c r="BT24" s="86">
        <v>2.9</v>
      </c>
      <c r="BU24" s="86">
        <v>500</v>
      </c>
      <c r="BV24" s="86">
        <v>5</v>
      </c>
      <c r="BW24" s="86">
        <v>15.4</v>
      </c>
      <c r="BX24" s="86">
        <v>302</v>
      </c>
      <c r="BY24" s="86">
        <v>30</v>
      </c>
      <c r="BZ24" s="86">
        <f t="shared" si="26"/>
        <v>332</v>
      </c>
      <c r="CA24" s="192"/>
      <c r="CB24" s="192"/>
      <c r="CC24" s="192"/>
      <c r="CD24" s="192"/>
      <c r="CE24" s="192"/>
      <c r="CF24" s="192"/>
      <c r="CG24" s="192">
        <f t="shared" si="27"/>
        <v>0</v>
      </c>
      <c r="CH24" s="4">
        <f>1690-45-240</f>
        <v>1405</v>
      </c>
      <c r="CI24" s="4">
        <v>0</v>
      </c>
      <c r="CJ24" s="55">
        <f t="shared" si="28"/>
        <v>318</v>
      </c>
      <c r="CK24" s="4">
        <v>35</v>
      </c>
      <c r="CL24" s="4">
        <f t="shared" si="45"/>
        <v>350</v>
      </c>
      <c r="CM24" s="22">
        <f t="shared" si="12"/>
        <v>45</v>
      </c>
      <c r="CN24" s="4"/>
      <c r="CO24" s="4">
        <f>417-110</f>
        <v>307</v>
      </c>
      <c r="CP24" s="4">
        <f t="shared" si="29"/>
        <v>0</v>
      </c>
      <c r="CQ24" s="4"/>
      <c r="CR24" s="37">
        <f t="shared" si="30"/>
        <v>2460</v>
      </c>
      <c r="CS24" s="4">
        <v>0</v>
      </c>
      <c r="CT24" s="181">
        <f t="shared" si="42"/>
        <v>4756</v>
      </c>
      <c r="CU24" s="180">
        <f t="shared" si="31"/>
        <v>0</v>
      </c>
      <c r="CV24" s="180">
        <f t="shared" si="32"/>
        <v>4756</v>
      </c>
      <c r="CW24" s="181">
        <f t="shared" si="33"/>
        <v>2460</v>
      </c>
      <c r="CX24" s="181"/>
      <c r="CY24" s="181">
        <f t="shared" si="34"/>
        <v>2296</v>
      </c>
      <c r="CZ24" s="91">
        <v>1917</v>
      </c>
      <c r="DA24" s="190">
        <f t="shared" si="35"/>
        <v>350</v>
      </c>
      <c r="DB24" s="191">
        <f t="shared" si="36"/>
        <v>45</v>
      </c>
      <c r="DC24" s="190">
        <f t="shared" si="13"/>
        <v>0</v>
      </c>
      <c r="DD24" s="192">
        <f t="shared" si="37"/>
        <v>0</v>
      </c>
      <c r="DE24" s="192">
        <f t="shared" si="38"/>
        <v>332</v>
      </c>
      <c r="DF24" s="192">
        <f t="shared" si="39"/>
        <v>0</v>
      </c>
      <c r="DG24" s="192">
        <f t="shared" si="43"/>
        <v>0</v>
      </c>
      <c r="DH24" s="192">
        <f t="shared" si="14"/>
        <v>318</v>
      </c>
      <c r="DI24" s="191">
        <f t="shared" si="41"/>
        <v>872</v>
      </c>
      <c r="DJ24" s="298">
        <f t="shared" si="15"/>
        <v>1190</v>
      </c>
      <c r="DL24" s="182">
        <f t="shared" si="16"/>
        <v>1190</v>
      </c>
      <c r="DM24" s="184">
        <f t="shared" si="17"/>
        <v>332</v>
      </c>
    </row>
    <row r="25" spans="1:117" ht="18">
      <c r="A25" s="32">
        <f t="shared" si="18"/>
        <v>46165</v>
      </c>
      <c r="B25" s="34"/>
      <c r="C25" s="4">
        <v>73</v>
      </c>
      <c r="D25" s="4">
        <v>50</v>
      </c>
      <c r="E25" s="4"/>
      <c r="F25" s="4">
        <f t="shared" si="19"/>
        <v>123</v>
      </c>
      <c r="G25" s="11">
        <f t="shared" si="0"/>
        <v>0</v>
      </c>
      <c r="H25" s="4">
        <f t="shared" si="1"/>
        <v>2190</v>
      </c>
      <c r="I25" s="4">
        <f t="shared" si="2"/>
        <v>1500</v>
      </c>
      <c r="J25" s="4">
        <f t="shared" si="3"/>
        <v>0</v>
      </c>
      <c r="K25" s="30">
        <f t="shared" si="4"/>
        <v>3690</v>
      </c>
      <c r="L25" s="58">
        <f t="shared" si="5"/>
        <v>1367</v>
      </c>
      <c r="M25" s="213">
        <v>1</v>
      </c>
      <c r="N25" s="185">
        <v>11.3</v>
      </c>
      <c r="O25" s="185">
        <v>16</v>
      </c>
      <c r="P25" s="185">
        <v>96.55</v>
      </c>
      <c r="Q25" s="185">
        <v>2.25</v>
      </c>
      <c r="R25" s="185">
        <v>7.4</v>
      </c>
      <c r="S25" s="301"/>
      <c r="T25" s="301"/>
      <c r="U25" s="301"/>
      <c r="V25" s="301"/>
      <c r="W25" s="185">
        <f t="shared" si="44"/>
        <v>86.899999999999991</v>
      </c>
      <c r="X25" s="207">
        <v>2.2999999999999998</v>
      </c>
      <c r="Y25" s="207">
        <v>2</v>
      </c>
      <c r="Z25" s="207">
        <v>4</v>
      </c>
      <c r="AA25" s="207">
        <v>20</v>
      </c>
      <c r="AB25" s="207">
        <v>701.22</v>
      </c>
      <c r="AC25" s="207">
        <v>250</v>
      </c>
      <c r="AD25" s="185">
        <v>0.9</v>
      </c>
      <c r="AE25" s="185">
        <v>0</v>
      </c>
      <c r="AF25" s="185">
        <v>2</v>
      </c>
      <c r="AG25" s="185">
        <v>12</v>
      </c>
      <c r="AH25" s="185">
        <f t="shared" si="46"/>
        <v>348</v>
      </c>
      <c r="AI25" s="185">
        <v>75</v>
      </c>
      <c r="AJ25" s="207">
        <v>1</v>
      </c>
      <c r="AK25" s="207">
        <v>5.6</v>
      </c>
      <c r="AL25" s="207">
        <v>30</v>
      </c>
      <c r="AM25" s="207">
        <v>168</v>
      </c>
      <c r="AN25" s="282">
        <v>168</v>
      </c>
      <c r="AO25" s="282">
        <v>0</v>
      </c>
      <c r="AP25" s="282">
        <f t="shared" si="21"/>
        <v>0</v>
      </c>
      <c r="AQ25" s="282">
        <v>180</v>
      </c>
      <c r="AR25" s="62">
        <v>3</v>
      </c>
      <c r="AS25" s="62">
        <v>206</v>
      </c>
      <c r="AT25" s="62">
        <v>61</v>
      </c>
      <c r="AU25" s="62">
        <v>3.08</v>
      </c>
      <c r="AV25" s="62">
        <v>13.7</v>
      </c>
      <c r="AW25" s="62">
        <v>1.93</v>
      </c>
      <c r="AX25" s="62">
        <v>3</v>
      </c>
      <c r="AY25" s="62">
        <v>2</v>
      </c>
      <c r="AZ25" s="276">
        <v>400</v>
      </c>
      <c r="BA25" s="94">
        <v>200</v>
      </c>
      <c r="BB25" s="95">
        <f t="shared" si="22"/>
        <v>200</v>
      </c>
      <c r="BC25" s="124"/>
      <c r="BD25" s="124"/>
      <c r="BE25" s="124"/>
      <c r="BF25" s="124"/>
      <c r="BG25" s="124"/>
      <c r="BH25" s="124"/>
      <c r="BI25" s="124"/>
      <c r="BJ25" s="124"/>
      <c r="BK25" s="124"/>
      <c r="BL25" s="124">
        <f t="shared" si="23"/>
        <v>0</v>
      </c>
      <c r="BM25" s="188">
        <f t="shared" si="6"/>
        <v>1.93</v>
      </c>
      <c r="BN25" s="188">
        <f t="shared" si="7"/>
        <v>3</v>
      </c>
      <c r="BO25" s="188">
        <f t="shared" si="8"/>
        <v>2</v>
      </c>
      <c r="BP25" s="188">
        <f t="shared" si="9"/>
        <v>400</v>
      </c>
      <c r="BQ25" s="188">
        <f t="shared" si="10"/>
        <v>13.7</v>
      </c>
      <c r="BR25" s="188">
        <f t="shared" si="24"/>
        <v>61</v>
      </c>
      <c r="BS25" s="188">
        <f t="shared" si="25"/>
        <v>267</v>
      </c>
      <c r="BT25" s="86">
        <v>3.4</v>
      </c>
      <c r="BU25" s="86">
        <v>400</v>
      </c>
      <c r="BV25" s="86">
        <v>1</v>
      </c>
      <c r="BW25" s="86">
        <v>3.2</v>
      </c>
      <c r="BX25" s="86">
        <v>40</v>
      </c>
      <c r="BY25" s="86">
        <v>35</v>
      </c>
      <c r="BZ25" s="86">
        <f t="shared" si="26"/>
        <v>75</v>
      </c>
      <c r="CA25" s="192"/>
      <c r="CB25" s="192"/>
      <c r="CC25" s="192"/>
      <c r="CD25" s="192"/>
      <c r="CE25" s="192"/>
      <c r="CF25" s="192"/>
      <c r="CG25" s="192">
        <f t="shared" si="27"/>
        <v>0</v>
      </c>
      <c r="CH25" s="4">
        <f>825-288</f>
        <v>537</v>
      </c>
      <c r="CI25" s="4">
        <f>302-37</f>
        <v>265</v>
      </c>
      <c r="CJ25" s="55">
        <f t="shared" si="28"/>
        <v>180</v>
      </c>
      <c r="CK25" s="4">
        <v>30</v>
      </c>
      <c r="CL25" s="4">
        <f t="shared" si="45"/>
        <v>250</v>
      </c>
      <c r="CM25" s="22">
        <f t="shared" si="12"/>
        <v>75</v>
      </c>
      <c r="CN25" s="4"/>
      <c r="CO25" s="4">
        <v>100</v>
      </c>
      <c r="CP25" s="4">
        <f t="shared" si="29"/>
        <v>0</v>
      </c>
      <c r="CQ25" s="4"/>
      <c r="CR25" s="37">
        <f t="shared" si="30"/>
        <v>1437</v>
      </c>
      <c r="CS25" s="4">
        <v>5000</v>
      </c>
      <c r="CT25" s="181">
        <f t="shared" si="42"/>
        <v>2296</v>
      </c>
      <c r="CU25" s="180">
        <f t="shared" si="31"/>
        <v>5000</v>
      </c>
      <c r="CV25" s="180">
        <f t="shared" si="32"/>
        <v>7296</v>
      </c>
      <c r="CW25" s="181">
        <f t="shared" si="33"/>
        <v>1437</v>
      </c>
      <c r="CX25" s="181"/>
      <c r="CY25" s="181">
        <f t="shared" si="34"/>
        <v>5859</v>
      </c>
      <c r="CZ25" s="91">
        <v>2693</v>
      </c>
      <c r="DA25" s="190">
        <f t="shared" si="35"/>
        <v>250</v>
      </c>
      <c r="DB25" s="191">
        <f t="shared" si="36"/>
        <v>75</v>
      </c>
      <c r="DC25" s="190">
        <f t="shared" si="13"/>
        <v>267</v>
      </c>
      <c r="DD25" s="192">
        <f t="shared" si="37"/>
        <v>0</v>
      </c>
      <c r="DE25" s="192">
        <f t="shared" si="38"/>
        <v>75</v>
      </c>
      <c r="DF25" s="192">
        <f t="shared" si="39"/>
        <v>0</v>
      </c>
      <c r="DG25" s="192">
        <f t="shared" si="43"/>
        <v>0</v>
      </c>
      <c r="DH25" s="192">
        <f t="shared" si="14"/>
        <v>180</v>
      </c>
      <c r="DI25" s="191">
        <f t="shared" si="41"/>
        <v>1846</v>
      </c>
      <c r="DJ25" s="298">
        <f t="shared" si="15"/>
        <v>2026</v>
      </c>
      <c r="DK25" s="70">
        <v>6602</v>
      </c>
      <c r="DL25" s="182">
        <f t="shared" si="16"/>
        <v>2026</v>
      </c>
      <c r="DM25" s="184">
        <f t="shared" si="17"/>
        <v>342</v>
      </c>
    </row>
    <row r="26" spans="1:117" ht="18">
      <c r="A26" s="32">
        <f t="shared" si="18"/>
        <v>46166</v>
      </c>
      <c r="B26" s="10"/>
      <c r="C26" s="4"/>
      <c r="D26" s="4"/>
      <c r="E26" s="4"/>
      <c r="F26" s="4">
        <f t="shared" si="19"/>
        <v>0</v>
      </c>
      <c r="G26" s="11">
        <f t="shared" si="0"/>
        <v>0</v>
      </c>
      <c r="H26" s="4">
        <f t="shared" si="1"/>
        <v>0</v>
      </c>
      <c r="I26" s="4">
        <f t="shared" si="2"/>
        <v>0</v>
      </c>
      <c r="J26" s="4">
        <f t="shared" si="3"/>
        <v>0</v>
      </c>
      <c r="K26" s="30">
        <f t="shared" si="4"/>
        <v>0</v>
      </c>
      <c r="L26" s="58">
        <f t="shared" si="5"/>
        <v>0</v>
      </c>
      <c r="M26" s="213"/>
      <c r="N26" s="185"/>
      <c r="O26" s="185"/>
      <c r="P26" s="185"/>
      <c r="Q26" s="185"/>
      <c r="R26" s="185"/>
      <c r="S26" s="301"/>
      <c r="T26" s="301"/>
      <c r="U26" s="301"/>
      <c r="V26" s="301"/>
      <c r="W26" s="185">
        <f t="shared" si="44"/>
        <v>0</v>
      </c>
      <c r="X26" s="207"/>
      <c r="Y26" s="207"/>
      <c r="Z26" s="207"/>
      <c r="AA26" s="207"/>
      <c r="AB26" s="207"/>
      <c r="AC26" s="207"/>
      <c r="AD26" s="185"/>
      <c r="AE26" s="185"/>
      <c r="AF26" s="185"/>
      <c r="AG26" s="185"/>
      <c r="AH26" s="185"/>
      <c r="AI26" s="185"/>
      <c r="AJ26" s="207"/>
      <c r="AK26" s="207"/>
      <c r="AL26" s="207"/>
      <c r="AM26" s="207"/>
      <c r="AN26" s="282"/>
      <c r="AO26" s="282"/>
      <c r="AP26" s="282">
        <f t="shared" si="21"/>
        <v>0</v>
      </c>
      <c r="AQ26" s="282"/>
      <c r="AR26" s="62"/>
      <c r="AS26" s="62"/>
      <c r="AT26" s="62"/>
      <c r="AU26" s="62"/>
      <c r="AV26" s="62"/>
      <c r="AW26" s="62"/>
      <c r="AX26" s="62"/>
      <c r="AY26" s="62"/>
      <c r="AZ26" s="276"/>
      <c r="BA26" s="276"/>
      <c r="BB26" s="95">
        <f t="shared" si="22"/>
        <v>0</v>
      </c>
      <c r="BC26" s="124"/>
      <c r="BD26" s="124"/>
      <c r="BE26" s="124"/>
      <c r="BF26" s="124"/>
      <c r="BG26" s="124"/>
      <c r="BH26" s="124"/>
      <c r="BI26" s="124"/>
      <c r="BJ26" s="124"/>
      <c r="BK26" s="124"/>
      <c r="BL26" s="124">
        <f t="shared" si="23"/>
        <v>0</v>
      </c>
      <c r="BM26" s="188">
        <f t="shared" si="6"/>
        <v>0</v>
      </c>
      <c r="BN26" s="188">
        <f t="shared" si="7"/>
        <v>0</v>
      </c>
      <c r="BO26" s="188">
        <f t="shared" si="8"/>
        <v>0</v>
      </c>
      <c r="BP26" s="188">
        <f t="shared" si="9"/>
        <v>0</v>
      </c>
      <c r="BQ26" s="188">
        <f t="shared" si="10"/>
        <v>0</v>
      </c>
      <c r="BR26" s="188">
        <f t="shared" si="24"/>
        <v>0</v>
      </c>
      <c r="BS26" s="188">
        <f t="shared" si="25"/>
        <v>0</v>
      </c>
      <c r="BT26" s="86"/>
      <c r="BU26" s="86"/>
      <c r="BV26" s="86"/>
      <c r="BW26" s="86"/>
      <c r="BX26" s="86"/>
      <c r="BY26" s="86"/>
      <c r="BZ26" s="86">
        <f t="shared" si="26"/>
        <v>0</v>
      </c>
      <c r="CA26" s="192"/>
      <c r="CB26" s="192"/>
      <c r="CC26" s="192"/>
      <c r="CD26" s="192"/>
      <c r="CE26" s="192"/>
      <c r="CF26" s="192"/>
      <c r="CG26" s="192">
        <f t="shared" si="27"/>
        <v>0</v>
      </c>
      <c r="CH26" s="4"/>
      <c r="CI26" s="4"/>
      <c r="CJ26" s="55">
        <f t="shared" si="28"/>
        <v>0</v>
      </c>
      <c r="CK26" s="4"/>
      <c r="CL26" s="4">
        <f t="shared" si="45"/>
        <v>0</v>
      </c>
      <c r="CM26" s="22">
        <f t="shared" si="12"/>
        <v>0</v>
      </c>
      <c r="CN26" s="4"/>
      <c r="CO26" s="4"/>
      <c r="CP26" s="4">
        <f t="shared" si="29"/>
        <v>0</v>
      </c>
      <c r="CQ26" s="4"/>
      <c r="CR26" s="37">
        <f t="shared" si="30"/>
        <v>0</v>
      </c>
      <c r="CS26" s="4"/>
      <c r="CT26" s="181">
        <f t="shared" si="42"/>
        <v>5859</v>
      </c>
      <c r="CU26" s="180">
        <f t="shared" si="31"/>
        <v>0</v>
      </c>
      <c r="CV26" s="180">
        <f t="shared" si="32"/>
        <v>5859</v>
      </c>
      <c r="CW26" s="181">
        <f t="shared" si="33"/>
        <v>0</v>
      </c>
      <c r="CX26" s="181"/>
      <c r="CY26" s="181">
        <f t="shared" si="34"/>
        <v>5859</v>
      </c>
      <c r="CZ26" s="91"/>
      <c r="DA26" s="190">
        <f t="shared" si="35"/>
        <v>0</v>
      </c>
      <c r="DB26" s="191">
        <f t="shared" si="36"/>
        <v>0</v>
      </c>
      <c r="DC26" s="190">
        <f t="shared" si="13"/>
        <v>0</v>
      </c>
      <c r="DD26" s="192">
        <f t="shared" si="37"/>
        <v>0</v>
      </c>
      <c r="DE26" s="192">
        <f t="shared" si="38"/>
        <v>0</v>
      </c>
      <c r="DF26" s="192">
        <f t="shared" si="39"/>
        <v>0</v>
      </c>
      <c r="DG26" s="192">
        <f t="shared" si="43"/>
        <v>0</v>
      </c>
      <c r="DH26" s="192">
        <f t="shared" si="14"/>
        <v>0</v>
      </c>
      <c r="DI26" s="191">
        <f t="shared" si="41"/>
        <v>0</v>
      </c>
      <c r="DJ26" s="298">
        <f t="shared" si="15"/>
        <v>0</v>
      </c>
      <c r="DL26" s="182">
        <f t="shared" si="16"/>
        <v>0</v>
      </c>
      <c r="DM26" s="184">
        <f t="shared" si="17"/>
        <v>0</v>
      </c>
    </row>
    <row r="27" spans="1:117" ht="18">
      <c r="A27" s="32">
        <f t="shared" si="18"/>
        <v>46167</v>
      </c>
      <c r="B27" s="34"/>
      <c r="C27" s="4">
        <v>1</v>
      </c>
      <c r="D27" s="4">
        <v>14</v>
      </c>
      <c r="E27" s="4"/>
      <c r="F27" s="4">
        <f t="shared" si="19"/>
        <v>15</v>
      </c>
      <c r="G27" s="4">
        <f t="shared" si="0"/>
        <v>0</v>
      </c>
      <c r="H27" s="4">
        <f t="shared" si="1"/>
        <v>30</v>
      </c>
      <c r="I27" s="4">
        <f t="shared" si="2"/>
        <v>420</v>
      </c>
      <c r="J27" s="4">
        <f t="shared" si="3"/>
        <v>0</v>
      </c>
      <c r="K27" s="30">
        <f t="shared" si="4"/>
        <v>450</v>
      </c>
      <c r="L27" s="58">
        <f t="shared" si="5"/>
        <v>167</v>
      </c>
      <c r="M27" s="213">
        <v>1</v>
      </c>
      <c r="N27" s="185">
        <v>4.5</v>
      </c>
      <c r="O27" s="185">
        <v>10</v>
      </c>
      <c r="P27" s="185">
        <v>39.4</v>
      </c>
      <c r="Q27" s="185">
        <v>9.8000000000000007</v>
      </c>
      <c r="R27" s="185">
        <v>11.1</v>
      </c>
      <c r="S27" s="301">
        <v>0</v>
      </c>
      <c r="T27" s="301">
        <v>0</v>
      </c>
      <c r="U27" s="301">
        <v>0</v>
      </c>
      <c r="V27" s="301">
        <v>0</v>
      </c>
      <c r="W27" s="185">
        <f t="shared" si="44"/>
        <v>18.5</v>
      </c>
      <c r="X27" s="207">
        <v>0</v>
      </c>
      <c r="Y27" s="207">
        <v>3</v>
      </c>
      <c r="Z27" s="207">
        <v>5</v>
      </c>
      <c r="AA27" s="207">
        <v>33</v>
      </c>
      <c r="AB27" s="207">
        <v>1027.75</v>
      </c>
      <c r="AC27" s="207">
        <v>165</v>
      </c>
      <c r="AD27" s="185">
        <v>5.0999999999999996</v>
      </c>
      <c r="AE27" s="185">
        <v>0</v>
      </c>
      <c r="AF27" s="185">
        <v>5</v>
      </c>
      <c r="AG27" s="185">
        <v>50</v>
      </c>
      <c r="AH27" s="185">
        <f>AG27*29</f>
        <v>1450</v>
      </c>
      <c r="AI27" s="185">
        <v>310</v>
      </c>
      <c r="AJ27" s="207">
        <v>1</v>
      </c>
      <c r="AK27" s="207">
        <v>4</v>
      </c>
      <c r="AL27" s="207">
        <v>27</v>
      </c>
      <c r="AM27" s="207">
        <v>102.4</v>
      </c>
      <c r="AN27" s="282">
        <v>102.4</v>
      </c>
      <c r="AO27" s="282">
        <v>0</v>
      </c>
      <c r="AP27" s="282">
        <f t="shared" si="21"/>
        <v>0</v>
      </c>
      <c r="AQ27" s="282">
        <v>115</v>
      </c>
      <c r="AR27" s="62">
        <v>3</v>
      </c>
      <c r="AS27" s="62">
        <v>471</v>
      </c>
      <c r="AT27" s="62">
        <v>134</v>
      </c>
      <c r="AU27" s="62">
        <v>6.1</v>
      </c>
      <c r="AV27" s="62">
        <v>22.6</v>
      </c>
      <c r="AW27" s="62">
        <v>9.73</v>
      </c>
      <c r="AX27" s="62">
        <v>10</v>
      </c>
      <c r="AY27" s="62">
        <v>11</v>
      </c>
      <c r="AZ27" s="276">
        <v>1000</v>
      </c>
      <c r="BA27" s="276">
        <v>500</v>
      </c>
      <c r="BB27" s="95">
        <f t="shared" si="22"/>
        <v>500</v>
      </c>
      <c r="BC27" s="124"/>
      <c r="BD27" s="124"/>
      <c r="BE27" s="124"/>
      <c r="BF27" s="124"/>
      <c r="BG27" s="124"/>
      <c r="BH27" s="124"/>
      <c r="BI27" s="124"/>
      <c r="BJ27" s="124"/>
      <c r="BK27" s="124"/>
      <c r="BL27" s="124">
        <f t="shared" si="23"/>
        <v>0</v>
      </c>
      <c r="BM27" s="188">
        <f t="shared" si="6"/>
        <v>9.73</v>
      </c>
      <c r="BN27" s="188">
        <f t="shared" si="7"/>
        <v>10</v>
      </c>
      <c r="BO27" s="188">
        <f t="shared" si="8"/>
        <v>11</v>
      </c>
      <c r="BP27" s="188">
        <f t="shared" si="9"/>
        <v>1000</v>
      </c>
      <c r="BQ27" s="188">
        <f t="shared" si="10"/>
        <v>22.6</v>
      </c>
      <c r="BR27" s="188">
        <f t="shared" si="24"/>
        <v>134</v>
      </c>
      <c r="BS27" s="188">
        <f t="shared" si="25"/>
        <v>605</v>
      </c>
      <c r="BT27" s="86">
        <v>5.2</v>
      </c>
      <c r="BU27" s="86">
        <v>600</v>
      </c>
      <c r="BV27" s="86">
        <v>1</v>
      </c>
      <c r="BW27" s="86">
        <v>5.2</v>
      </c>
      <c r="BX27" s="86">
        <v>120</v>
      </c>
      <c r="BY27" s="86">
        <v>50</v>
      </c>
      <c r="BZ27" s="86">
        <f t="shared" si="26"/>
        <v>170</v>
      </c>
      <c r="CA27" s="192"/>
      <c r="CB27" s="192"/>
      <c r="CC27" s="192">
        <v>1</v>
      </c>
      <c r="CD27" s="192">
        <v>9.6</v>
      </c>
      <c r="CE27" s="192"/>
      <c r="CF27" s="192"/>
      <c r="CG27" s="192">
        <f t="shared" si="27"/>
        <v>0</v>
      </c>
      <c r="CH27" s="4">
        <f>1926-411</f>
        <v>1515</v>
      </c>
      <c r="CI27" s="4">
        <f>639-64</f>
        <v>575</v>
      </c>
      <c r="CJ27" s="55">
        <f t="shared" si="28"/>
        <v>115</v>
      </c>
      <c r="CK27" s="4">
        <v>243</v>
      </c>
      <c r="CL27" s="4">
        <f t="shared" si="45"/>
        <v>165</v>
      </c>
      <c r="CM27" s="22">
        <f t="shared" si="12"/>
        <v>310</v>
      </c>
      <c r="CN27" s="4"/>
      <c r="CO27" s="4">
        <v>0</v>
      </c>
      <c r="CP27" s="4">
        <f t="shared" si="29"/>
        <v>0</v>
      </c>
      <c r="CQ27" s="4">
        <v>200</v>
      </c>
      <c r="CR27" s="37">
        <f t="shared" si="30"/>
        <v>3123</v>
      </c>
      <c r="CS27" s="4">
        <v>0</v>
      </c>
      <c r="CT27" s="47">
        <f t="shared" si="42"/>
        <v>5859</v>
      </c>
      <c r="CU27" s="180">
        <f t="shared" si="31"/>
        <v>0</v>
      </c>
      <c r="CV27" s="46">
        <f t="shared" si="32"/>
        <v>5859</v>
      </c>
      <c r="CW27" s="47">
        <f t="shared" si="33"/>
        <v>3123</v>
      </c>
      <c r="CX27" s="181"/>
      <c r="CY27" s="181">
        <f t="shared" si="34"/>
        <v>2736</v>
      </c>
      <c r="CZ27" s="91">
        <v>1751</v>
      </c>
      <c r="DA27" s="190">
        <f t="shared" si="35"/>
        <v>165</v>
      </c>
      <c r="DB27" s="191">
        <f t="shared" si="36"/>
        <v>310</v>
      </c>
      <c r="DC27" s="190">
        <f t="shared" si="13"/>
        <v>605</v>
      </c>
      <c r="DD27" s="192">
        <f t="shared" si="37"/>
        <v>0</v>
      </c>
      <c r="DE27" s="192">
        <f t="shared" si="38"/>
        <v>170</v>
      </c>
      <c r="DF27" s="192">
        <f t="shared" si="39"/>
        <v>0</v>
      </c>
      <c r="DG27" s="192">
        <f t="shared" si="43"/>
        <v>0</v>
      </c>
      <c r="DH27" s="192">
        <f t="shared" si="14"/>
        <v>115</v>
      </c>
      <c r="DI27" s="191">
        <f t="shared" si="41"/>
        <v>386</v>
      </c>
      <c r="DJ27" s="298">
        <f t="shared" si="15"/>
        <v>501</v>
      </c>
      <c r="DL27" s="182">
        <f t="shared" si="16"/>
        <v>501</v>
      </c>
      <c r="DM27" s="184">
        <f t="shared" si="17"/>
        <v>775</v>
      </c>
    </row>
    <row r="28" spans="1:117" ht="18">
      <c r="A28" s="32">
        <f t="shared" si="18"/>
        <v>46168</v>
      </c>
      <c r="B28" s="34"/>
      <c r="C28" s="4"/>
      <c r="D28" s="4"/>
      <c r="E28" s="4"/>
      <c r="F28" s="4">
        <f t="shared" si="19"/>
        <v>0</v>
      </c>
      <c r="G28" s="4">
        <f t="shared" si="0"/>
        <v>0</v>
      </c>
      <c r="H28" s="4">
        <f t="shared" si="1"/>
        <v>0</v>
      </c>
      <c r="I28" s="4">
        <f t="shared" si="2"/>
        <v>0</v>
      </c>
      <c r="J28" s="4">
        <f t="shared" si="3"/>
        <v>0</v>
      </c>
      <c r="K28" s="30">
        <f t="shared" si="4"/>
        <v>0</v>
      </c>
      <c r="L28" s="58">
        <f t="shared" si="5"/>
        <v>0</v>
      </c>
      <c r="M28" s="213"/>
      <c r="N28" s="185"/>
      <c r="O28" s="185">
        <v>13</v>
      </c>
      <c r="P28" s="185">
        <v>44</v>
      </c>
      <c r="Q28" s="185">
        <v>0</v>
      </c>
      <c r="R28" s="185">
        <v>31.5</v>
      </c>
      <c r="S28" s="301"/>
      <c r="T28" s="301"/>
      <c r="U28" s="301"/>
      <c r="V28" s="301"/>
      <c r="W28" s="185">
        <f t="shared" si="44"/>
        <v>12.5</v>
      </c>
      <c r="X28" s="207">
        <v>5</v>
      </c>
      <c r="Y28" s="207">
        <v>5.9</v>
      </c>
      <c r="Z28" s="207">
        <v>9</v>
      </c>
      <c r="AA28" s="207">
        <v>103</v>
      </c>
      <c r="AB28" s="207">
        <v>3679.77</v>
      </c>
      <c r="AC28" s="207">
        <v>480</v>
      </c>
      <c r="AD28" s="185">
        <v>0</v>
      </c>
      <c r="AE28" s="185">
        <v>0</v>
      </c>
      <c r="AF28" s="185">
        <v>0</v>
      </c>
      <c r="AG28" s="185">
        <v>0</v>
      </c>
      <c r="AH28" s="185">
        <v>0</v>
      </c>
      <c r="AI28" s="185">
        <v>0</v>
      </c>
      <c r="AJ28" s="207">
        <v>1</v>
      </c>
      <c r="AK28" s="207">
        <v>5.5</v>
      </c>
      <c r="AL28" s="207">
        <v>51</v>
      </c>
      <c r="AM28" s="207">
        <v>158</v>
      </c>
      <c r="AN28" s="282">
        <v>158</v>
      </c>
      <c r="AO28" s="282">
        <v>0</v>
      </c>
      <c r="AP28" s="282">
        <f t="shared" si="21"/>
        <v>0</v>
      </c>
      <c r="AQ28" s="282">
        <v>0</v>
      </c>
      <c r="AR28" s="62">
        <v>4</v>
      </c>
      <c r="AS28" s="62">
        <v>238</v>
      </c>
      <c r="AT28" s="62">
        <v>0</v>
      </c>
      <c r="AU28" s="62">
        <v>0</v>
      </c>
      <c r="AV28" s="62">
        <v>20</v>
      </c>
      <c r="AW28" s="62">
        <v>5.64</v>
      </c>
      <c r="AX28" s="62">
        <v>6</v>
      </c>
      <c r="AY28" s="62">
        <v>6</v>
      </c>
      <c r="AZ28" s="276">
        <v>1200</v>
      </c>
      <c r="BA28" s="94">
        <v>600</v>
      </c>
      <c r="BB28" s="95">
        <f t="shared" si="22"/>
        <v>600</v>
      </c>
      <c r="BC28" s="124"/>
      <c r="BD28" s="124"/>
      <c r="BE28" s="124"/>
      <c r="BF28" s="124"/>
      <c r="BG28" s="124"/>
      <c r="BH28" s="124"/>
      <c r="BI28" s="124"/>
      <c r="BJ28" s="124"/>
      <c r="BK28" s="124"/>
      <c r="BL28" s="124">
        <f t="shared" si="23"/>
        <v>0</v>
      </c>
      <c r="BM28" s="188">
        <f t="shared" si="6"/>
        <v>5.64</v>
      </c>
      <c r="BN28" s="188">
        <f t="shared" si="7"/>
        <v>6</v>
      </c>
      <c r="BO28" s="188">
        <f t="shared" si="8"/>
        <v>6</v>
      </c>
      <c r="BP28" s="188">
        <f t="shared" si="9"/>
        <v>1200</v>
      </c>
      <c r="BQ28" s="188">
        <f t="shared" si="10"/>
        <v>20</v>
      </c>
      <c r="BR28" s="188">
        <f t="shared" si="24"/>
        <v>0</v>
      </c>
      <c r="BS28" s="188">
        <f t="shared" si="25"/>
        <v>238</v>
      </c>
      <c r="BT28" s="86">
        <v>5.0999999999999996</v>
      </c>
      <c r="BU28" s="86">
        <v>700</v>
      </c>
      <c r="BV28" s="86">
        <v>1</v>
      </c>
      <c r="BW28" s="86">
        <v>6.1</v>
      </c>
      <c r="BX28" s="86">
        <v>39</v>
      </c>
      <c r="BY28" s="86">
        <v>50</v>
      </c>
      <c r="BZ28" s="86">
        <f t="shared" si="26"/>
        <v>89</v>
      </c>
      <c r="CA28" s="192"/>
      <c r="CB28" s="192"/>
      <c r="CC28" s="192">
        <v>1</v>
      </c>
      <c r="CD28" s="192">
        <v>4</v>
      </c>
      <c r="CE28" s="192"/>
      <c r="CF28" s="192"/>
      <c r="CG28" s="192">
        <f t="shared" si="27"/>
        <v>0</v>
      </c>
      <c r="CH28" s="4">
        <f>520-358</f>
        <v>162</v>
      </c>
      <c r="CI28" s="4">
        <v>300</v>
      </c>
      <c r="CJ28" s="55">
        <f t="shared" si="28"/>
        <v>0</v>
      </c>
      <c r="CK28" s="4">
        <v>38</v>
      </c>
      <c r="CL28" s="4">
        <f t="shared" si="45"/>
        <v>480</v>
      </c>
      <c r="CM28" s="22">
        <f t="shared" si="12"/>
        <v>0</v>
      </c>
      <c r="CN28" s="4"/>
      <c r="CO28" s="4">
        <v>250</v>
      </c>
      <c r="CP28" s="4">
        <f t="shared" si="29"/>
        <v>0</v>
      </c>
      <c r="CQ28" s="4"/>
      <c r="CR28" s="37">
        <f t="shared" si="30"/>
        <v>1230</v>
      </c>
      <c r="CS28" s="4">
        <v>0</v>
      </c>
      <c r="CT28" s="47">
        <f t="shared" si="42"/>
        <v>2736</v>
      </c>
      <c r="CU28" s="180">
        <f t="shared" si="31"/>
        <v>0</v>
      </c>
      <c r="CV28" s="46">
        <f t="shared" si="32"/>
        <v>2736</v>
      </c>
      <c r="CW28" s="47">
        <f t="shared" si="33"/>
        <v>1230</v>
      </c>
      <c r="CX28" s="181"/>
      <c r="CY28" s="181">
        <f t="shared" si="34"/>
        <v>1506</v>
      </c>
      <c r="CZ28" s="91">
        <v>1042</v>
      </c>
      <c r="DA28" s="190">
        <f t="shared" si="35"/>
        <v>480</v>
      </c>
      <c r="DB28" s="191">
        <f t="shared" si="36"/>
        <v>0</v>
      </c>
      <c r="DC28" s="190">
        <f t="shared" si="13"/>
        <v>238</v>
      </c>
      <c r="DD28" s="192">
        <f t="shared" si="37"/>
        <v>0</v>
      </c>
      <c r="DE28" s="192">
        <f t="shared" si="38"/>
        <v>89</v>
      </c>
      <c r="DF28" s="192">
        <f t="shared" si="39"/>
        <v>0</v>
      </c>
      <c r="DG28" s="192">
        <f t="shared" si="43"/>
        <v>0</v>
      </c>
      <c r="DH28" s="192">
        <f t="shared" si="14"/>
        <v>0</v>
      </c>
      <c r="DI28" s="191">
        <f t="shared" si="41"/>
        <v>235</v>
      </c>
      <c r="DJ28" s="298">
        <f t="shared" si="15"/>
        <v>235</v>
      </c>
      <c r="DK28" s="277">
        <v>8162</v>
      </c>
      <c r="DL28" s="182">
        <f t="shared" si="16"/>
        <v>235</v>
      </c>
      <c r="DM28" s="184">
        <f t="shared" si="17"/>
        <v>327</v>
      </c>
    </row>
    <row r="29" spans="1:117" ht="18">
      <c r="A29" s="32">
        <f t="shared" si="18"/>
        <v>46169</v>
      </c>
      <c r="B29" s="34"/>
      <c r="C29" s="4"/>
      <c r="D29" s="4">
        <v>47</v>
      </c>
      <c r="E29" s="4"/>
      <c r="F29" s="4">
        <f t="shared" si="19"/>
        <v>47</v>
      </c>
      <c r="G29" s="4">
        <f t="shared" si="0"/>
        <v>0</v>
      </c>
      <c r="H29" s="4">
        <f t="shared" si="1"/>
        <v>0</v>
      </c>
      <c r="I29" s="4">
        <f t="shared" si="2"/>
        <v>1410</v>
      </c>
      <c r="J29" s="4">
        <f t="shared" si="3"/>
        <v>0</v>
      </c>
      <c r="K29" s="30">
        <f t="shared" si="4"/>
        <v>1410</v>
      </c>
      <c r="L29" s="58">
        <f t="shared" si="5"/>
        <v>523</v>
      </c>
      <c r="M29" s="213">
        <v>1</v>
      </c>
      <c r="N29" s="185">
        <v>6</v>
      </c>
      <c r="O29" s="185">
        <v>9</v>
      </c>
      <c r="P29" s="185">
        <v>37</v>
      </c>
      <c r="Q29" s="185">
        <v>0</v>
      </c>
      <c r="R29" s="185">
        <v>0</v>
      </c>
      <c r="S29" s="301">
        <v>0</v>
      </c>
      <c r="T29" s="301">
        <v>0</v>
      </c>
      <c r="U29" s="301">
        <v>0</v>
      </c>
      <c r="V29" s="301">
        <v>0</v>
      </c>
      <c r="W29" s="185">
        <f t="shared" si="44"/>
        <v>37</v>
      </c>
      <c r="X29" s="207">
        <v>0</v>
      </c>
      <c r="Y29" s="207">
        <v>0</v>
      </c>
      <c r="Z29" s="207">
        <v>0</v>
      </c>
      <c r="AA29" s="207">
        <v>0</v>
      </c>
      <c r="AB29" s="207">
        <v>0</v>
      </c>
      <c r="AC29" s="207">
        <v>0</v>
      </c>
      <c r="AD29" s="185">
        <v>3.3</v>
      </c>
      <c r="AE29" s="185">
        <v>1.5</v>
      </c>
      <c r="AF29" s="185">
        <v>3</v>
      </c>
      <c r="AG29" s="185">
        <v>30</v>
      </c>
      <c r="AH29" s="185">
        <f>AG29*29</f>
        <v>870</v>
      </c>
      <c r="AI29" s="185">
        <v>70</v>
      </c>
      <c r="AJ29" s="207">
        <v>1</v>
      </c>
      <c r="AK29" s="207">
        <v>4</v>
      </c>
      <c r="AL29" s="207">
        <v>30</v>
      </c>
      <c r="AM29" s="207">
        <v>108</v>
      </c>
      <c r="AN29" s="282">
        <v>108</v>
      </c>
      <c r="AO29" s="282"/>
      <c r="AP29" s="282">
        <f t="shared" si="21"/>
        <v>0</v>
      </c>
      <c r="AQ29" s="282">
        <v>185</v>
      </c>
      <c r="AR29" s="62">
        <v>4</v>
      </c>
      <c r="AS29" s="62">
        <v>220</v>
      </c>
      <c r="AT29" s="62">
        <v>0</v>
      </c>
      <c r="AU29" s="62">
        <v>0</v>
      </c>
      <c r="AV29" s="62">
        <v>16</v>
      </c>
      <c r="AW29" s="62">
        <v>6.44</v>
      </c>
      <c r="AX29" s="62">
        <v>6</v>
      </c>
      <c r="AY29" s="62">
        <v>7</v>
      </c>
      <c r="AZ29" s="276">
        <v>1000</v>
      </c>
      <c r="BA29" s="94">
        <v>500</v>
      </c>
      <c r="BB29" s="95">
        <f t="shared" si="22"/>
        <v>500</v>
      </c>
      <c r="BC29" s="124"/>
      <c r="BD29" s="124"/>
      <c r="BE29" s="124"/>
      <c r="BF29" s="124"/>
      <c r="BG29" s="124"/>
      <c r="BH29" s="124"/>
      <c r="BI29" s="124"/>
      <c r="BJ29" s="124"/>
      <c r="BK29" s="124"/>
      <c r="BL29" s="124">
        <f t="shared" si="23"/>
        <v>0</v>
      </c>
      <c r="BM29" s="188">
        <f t="shared" si="6"/>
        <v>6.44</v>
      </c>
      <c r="BN29" s="188">
        <f t="shared" si="7"/>
        <v>6</v>
      </c>
      <c r="BO29" s="188">
        <f t="shared" si="8"/>
        <v>7</v>
      </c>
      <c r="BP29" s="188">
        <f t="shared" si="9"/>
        <v>1000</v>
      </c>
      <c r="BQ29" s="188">
        <f t="shared" si="10"/>
        <v>16</v>
      </c>
      <c r="BR29" s="188">
        <f t="shared" si="24"/>
        <v>0</v>
      </c>
      <c r="BS29" s="188">
        <f t="shared" si="25"/>
        <v>220</v>
      </c>
      <c r="BT29" s="86">
        <v>0</v>
      </c>
      <c r="BU29" s="86">
        <v>0</v>
      </c>
      <c r="BV29" s="86">
        <v>0</v>
      </c>
      <c r="BW29" s="86">
        <v>0</v>
      </c>
      <c r="BX29" s="86">
        <v>0</v>
      </c>
      <c r="BY29" s="86">
        <v>0</v>
      </c>
      <c r="BZ29" s="86">
        <f t="shared" si="26"/>
        <v>0</v>
      </c>
      <c r="CA29" s="192"/>
      <c r="CB29" s="192"/>
      <c r="CC29" s="192"/>
      <c r="CD29" s="192"/>
      <c r="CE29" s="192"/>
      <c r="CF29" s="192"/>
      <c r="CG29" s="192">
        <f t="shared" si="27"/>
        <v>0</v>
      </c>
      <c r="CH29" s="4">
        <f>250-43</f>
        <v>207</v>
      </c>
      <c r="CI29" s="4">
        <f>295-27</f>
        <v>268</v>
      </c>
      <c r="CJ29" s="55">
        <f t="shared" si="28"/>
        <v>185</v>
      </c>
      <c r="CK29" s="4">
        <v>30</v>
      </c>
      <c r="CL29" s="4">
        <f t="shared" si="45"/>
        <v>0</v>
      </c>
      <c r="CM29" s="22">
        <f t="shared" si="12"/>
        <v>70</v>
      </c>
      <c r="CN29" s="4"/>
      <c r="CO29" s="4"/>
      <c r="CP29" s="4">
        <f t="shared" si="29"/>
        <v>0</v>
      </c>
      <c r="CQ29" s="4"/>
      <c r="CR29" s="37">
        <f t="shared" si="30"/>
        <v>760</v>
      </c>
      <c r="CS29" s="4">
        <v>0</v>
      </c>
      <c r="CT29" s="47">
        <f t="shared" si="42"/>
        <v>1506</v>
      </c>
      <c r="CU29" s="180">
        <f t="shared" si="31"/>
        <v>0</v>
      </c>
      <c r="CV29" s="46">
        <f t="shared" si="32"/>
        <v>1506</v>
      </c>
      <c r="CW29" s="47">
        <f t="shared" si="33"/>
        <v>760</v>
      </c>
      <c r="CX29" s="181"/>
      <c r="CY29" s="181">
        <f t="shared" si="34"/>
        <v>746</v>
      </c>
      <c r="CZ29" s="91">
        <v>1177</v>
      </c>
      <c r="DA29" s="190">
        <f t="shared" si="35"/>
        <v>0</v>
      </c>
      <c r="DB29" s="191">
        <f t="shared" si="36"/>
        <v>70</v>
      </c>
      <c r="DC29" s="190">
        <f t="shared" si="13"/>
        <v>220</v>
      </c>
      <c r="DD29" s="192">
        <f t="shared" si="37"/>
        <v>0</v>
      </c>
      <c r="DE29" s="192">
        <f t="shared" si="38"/>
        <v>0</v>
      </c>
      <c r="DF29" s="192">
        <f t="shared" si="39"/>
        <v>0</v>
      </c>
      <c r="DG29" s="192">
        <f t="shared" si="43"/>
        <v>0</v>
      </c>
      <c r="DH29" s="192">
        <f t="shared" si="14"/>
        <v>185</v>
      </c>
      <c r="DI29" s="191">
        <f t="shared" si="41"/>
        <v>702</v>
      </c>
      <c r="DJ29" s="298">
        <f t="shared" si="15"/>
        <v>887</v>
      </c>
      <c r="DK29" s="70">
        <v>7745</v>
      </c>
      <c r="DL29" s="182">
        <f t="shared" si="16"/>
        <v>887</v>
      </c>
      <c r="DM29" s="184">
        <f t="shared" si="17"/>
        <v>220</v>
      </c>
    </row>
    <row r="30" spans="1:117" ht="18">
      <c r="A30" s="32">
        <f t="shared" si="18"/>
        <v>46170</v>
      </c>
      <c r="B30" s="34"/>
      <c r="C30" s="4"/>
      <c r="D30" s="4">
        <v>129</v>
      </c>
      <c r="E30" s="4"/>
      <c r="F30" s="4">
        <f t="shared" si="19"/>
        <v>129</v>
      </c>
      <c r="G30" s="4">
        <f t="shared" si="0"/>
        <v>0</v>
      </c>
      <c r="H30" s="4">
        <f t="shared" si="1"/>
        <v>0</v>
      </c>
      <c r="I30" s="4">
        <f t="shared" si="2"/>
        <v>3870</v>
      </c>
      <c r="J30" s="4">
        <f t="shared" si="3"/>
        <v>0</v>
      </c>
      <c r="K30" s="30">
        <f t="shared" si="4"/>
        <v>3870</v>
      </c>
      <c r="L30" s="58">
        <f t="shared" si="5"/>
        <v>1434</v>
      </c>
      <c r="M30" s="213">
        <v>1</v>
      </c>
      <c r="N30" s="185">
        <v>15.7</v>
      </c>
      <c r="O30" s="185">
        <v>14</v>
      </c>
      <c r="P30" s="185">
        <v>96.15</v>
      </c>
      <c r="Q30" s="185">
        <v>9.9</v>
      </c>
      <c r="R30" s="185">
        <v>24.55</v>
      </c>
      <c r="S30" s="301">
        <v>5.4</v>
      </c>
      <c r="T30" s="301">
        <v>30</v>
      </c>
      <c r="U30" s="301">
        <v>16</v>
      </c>
      <c r="V30" s="301">
        <v>350</v>
      </c>
      <c r="W30" s="185">
        <f t="shared" si="44"/>
        <v>61.7</v>
      </c>
      <c r="X30" s="207">
        <v>0</v>
      </c>
      <c r="Y30" s="207">
        <v>8.3000000000000007</v>
      </c>
      <c r="Z30" s="207">
        <v>5</v>
      </c>
      <c r="AA30" s="207">
        <v>65</v>
      </c>
      <c r="AB30" s="207">
        <v>1955.08</v>
      </c>
      <c r="AC30" s="207">
        <v>222</v>
      </c>
      <c r="AD30" s="185">
        <v>4.5</v>
      </c>
      <c r="AE30" s="185">
        <v>0</v>
      </c>
      <c r="AF30" s="185">
        <v>3</v>
      </c>
      <c r="AG30" s="185">
        <v>32</v>
      </c>
      <c r="AH30" s="185">
        <f>AG30*29</f>
        <v>928</v>
      </c>
      <c r="AI30" s="185">
        <v>244</v>
      </c>
      <c r="AJ30" s="207">
        <v>1</v>
      </c>
      <c r="AK30" s="207">
        <v>3</v>
      </c>
      <c r="AL30" s="207">
        <v>12</v>
      </c>
      <c r="AM30" s="207">
        <v>72</v>
      </c>
      <c r="AN30" s="282">
        <v>72</v>
      </c>
      <c r="AO30" s="282">
        <v>0</v>
      </c>
      <c r="AP30" s="282">
        <f t="shared" si="21"/>
        <v>0</v>
      </c>
      <c r="AQ30" s="282">
        <v>127</v>
      </c>
      <c r="AR30" s="62">
        <v>3</v>
      </c>
      <c r="AS30" s="62">
        <v>120</v>
      </c>
      <c r="AT30" s="62">
        <v>0</v>
      </c>
      <c r="AU30" s="62">
        <v>0</v>
      </c>
      <c r="AV30" s="62">
        <v>16.899999999999999</v>
      </c>
      <c r="AW30" s="62">
        <v>8.1199999999999992</v>
      </c>
      <c r="AX30" s="62">
        <v>9</v>
      </c>
      <c r="AY30" s="62">
        <v>8</v>
      </c>
      <c r="AZ30" s="276">
        <v>1200</v>
      </c>
      <c r="BA30" s="94">
        <v>600</v>
      </c>
      <c r="BB30" s="95">
        <f t="shared" si="22"/>
        <v>600</v>
      </c>
      <c r="BC30" s="124"/>
      <c r="BD30" s="124"/>
      <c r="BE30" s="124"/>
      <c r="BF30" s="124"/>
      <c r="BG30" s="124"/>
      <c r="BH30" s="124"/>
      <c r="BI30" s="124"/>
      <c r="BJ30" s="124"/>
      <c r="BK30" s="124"/>
      <c r="BL30" s="124">
        <f t="shared" si="23"/>
        <v>0</v>
      </c>
      <c r="BM30" s="188">
        <f t="shared" si="6"/>
        <v>8.1199999999999992</v>
      </c>
      <c r="BN30" s="188">
        <f t="shared" si="7"/>
        <v>9</v>
      </c>
      <c r="BO30" s="188">
        <f t="shared" si="8"/>
        <v>8</v>
      </c>
      <c r="BP30" s="188">
        <f t="shared" si="9"/>
        <v>1200</v>
      </c>
      <c r="BQ30" s="188">
        <f t="shared" si="10"/>
        <v>16.899999999999999</v>
      </c>
      <c r="BR30" s="188">
        <f t="shared" si="24"/>
        <v>0</v>
      </c>
      <c r="BS30" s="188">
        <f t="shared" si="25"/>
        <v>120</v>
      </c>
      <c r="BT30" s="86">
        <v>4.7</v>
      </c>
      <c r="BU30" s="86">
        <v>600</v>
      </c>
      <c r="BV30" s="86">
        <v>1</v>
      </c>
      <c r="BW30" s="86">
        <v>5.2</v>
      </c>
      <c r="BX30" s="86">
        <v>72</v>
      </c>
      <c r="BY30" s="86">
        <v>50</v>
      </c>
      <c r="BZ30" s="86">
        <f t="shared" si="26"/>
        <v>122</v>
      </c>
      <c r="CA30" s="192">
        <v>5.6</v>
      </c>
      <c r="CB30" s="192">
        <v>1000</v>
      </c>
      <c r="CC30" s="192">
        <v>1</v>
      </c>
      <c r="CD30" s="192">
        <v>4.7</v>
      </c>
      <c r="CE30" s="192">
        <v>140</v>
      </c>
      <c r="CF30" s="192">
        <v>100</v>
      </c>
      <c r="CG30" s="192">
        <f t="shared" si="27"/>
        <v>240</v>
      </c>
      <c r="CH30" s="4">
        <f>950-326</f>
        <v>624</v>
      </c>
      <c r="CI30" s="4">
        <f>325-140</f>
        <v>185</v>
      </c>
      <c r="CJ30" s="55">
        <f t="shared" si="28"/>
        <v>127</v>
      </c>
      <c r="CK30" s="4">
        <v>100</v>
      </c>
      <c r="CL30" s="4">
        <f t="shared" si="45"/>
        <v>222</v>
      </c>
      <c r="CM30" s="22">
        <f t="shared" si="12"/>
        <v>244</v>
      </c>
      <c r="CN30" s="4"/>
      <c r="CO30" s="4">
        <v>100</v>
      </c>
      <c r="CP30" s="4">
        <f t="shared" si="29"/>
        <v>350</v>
      </c>
      <c r="CQ30" s="4"/>
      <c r="CR30" s="37">
        <f t="shared" si="30"/>
        <v>1952</v>
      </c>
      <c r="CS30" s="4">
        <v>2000</v>
      </c>
      <c r="CT30" s="47">
        <f t="shared" si="42"/>
        <v>746</v>
      </c>
      <c r="CU30" s="180">
        <f t="shared" si="31"/>
        <v>2000</v>
      </c>
      <c r="CV30" s="46">
        <f t="shared" si="32"/>
        <v>2746</v>
      </c>
      <c r="CW30" s="47">
        <f t="shared" si="33"/>
        <v>1952</v>
      </c>
      <c r="CX30" s="181"/>
      <c r="CY30" s="181">
        <f t="shared" si="34"/>
        <v>794</v>
      </c>
      <c r="CZ30" s="91">
        <v>2339</v>
      </c>
      <c r="DA30" s="190">
        <f t="shared" si="35"/>
        <v>222</v>
      </c>
      <c r="DB30" s="191">
        <f t="shared" si="36"/>
        <v>244</v>
      </c>
      <c r="DC30" s="190">
        <f t="shared" si="13"/>
        <v>120</v>
      </c>
      <c r="DD30" s="192">
        <f t="shared" si="37"/>
        <v>0</v>
      </c>
      <c r="DE30" s="192">
        <f t="shared" si="38"/>
        <v>122</v>
      </c>
      <c r="DF30" s="192">
        <f t="shared" si="39"/>
        <v>240</v>
      </c>
      <c r="DG30" s="192">
        <f t="shared" si="43"/>
        <v>350</v>
      </c>
      <c r="DH30" s="192">
        <f t="shared" si="14"/>
        <v>127</v>
      </c>
      <c r="DI30" s="191">
        <f t="shared" si="41"/>
        <v>914</v>
      </c>
      <c r="DJ30" s="298">
        <f t="shared" si="15"/>
        <v>1391</v>
      </c>
      <c r="DK30" s="70">
        <v>7358</v>
      </c>
      <c r="DL30" s="182">
        <f t="shared" si="16"/>
        <v>1041</v>
      </c>
      <c r="DM30" s="184">
        <f t="shared" si="17"/>
        <v>242</v>
      </c>
    </row>
    <row r="31" spans="1:117" ht="18">
      <c r="A31" s="32">
        <f t="shared" si="18"/>
        <v>46171</v>
      </c>
      <c r="B31" s="34"/>
      <c r="C31" s="4">
        <v>17</v>
      </c>
      <c r="D31" s="4">
        <v>91</v>
      </c>
      <c r="E31" s="4"/>
      <c r="F31" s="4">
        <f t="shared" si="19"/>
        <v>108</v>
      </c>
      <c r="G31" s="4">
        <f t="shared" si="0"/>
        <v>0</v>
      </c>
      <c r="H31" s="4">
        <f t="shared" si="1"/>
        <v>510</v>
      </c>
      <c r="I31" s="4">
        <f t="shared" si="2"/>
        <v>2730</v>
      </c>
      <c r="J31" s="4">
        <f t="shared" si="3"/>
        <v>0</v>
      </c>
      <c r="K31" s="30">
        <f t="shared" si="4"/>
        <v>3240</v>
      </c>
      <c r="L31" s="58">
        <f t="shared" si="5"/>
        <v>1200</v>
      </c>
      <c r="M31" s="213">
        <v>3</v>
      </c>
      <c r="N31" s="185">
        <v>17.600000000000001</v>
      </c>
      <c r="O31" s="185">
        <v>16</v>
      </c>
      <c r="P31" s="185">
        <v>101.95</v>
      </c>
      <c r="Q31" s="185">
        <v>11.2</v>
      </c>
      <c r="R31" s="185">
        <v>24.1</v>
      </c>
      <c r="S31" s="301">
        <v>5.6</v>
      </c>
      <c r="T31" s="301">
        <v>36</v>
      </c>
      <c r="U31" s="301">
        <v>14.7</v>
      </c>
      <c r="V31" s="301">
        <v>350</v>
      </c>
      <c r="W31" s="185">
        <f t="shared" si="44"/>
        <v>66.650000000000006</v>
      </c>
      <c r="X31" s="207">
        <v>5.0999999999999996</v>
      </c>
      <c r="Y31" s="207">
        <v>8.1</v>
      </c>
      <c r="Z31" s="207">
        <v>5</v>
      </c>
      <c r="AA31" s="207">
        <v>68</v>
      </c>
      <c r="AB31" s="207">
        <v>2237.0500000000002</v>
      </c>
      <c r="AC31" s="207">
        <v>390</v>
      </c>
      <c r="AD31" s="185">
        <v>4</v>
      </c>
      <c r="AE31" s="185">
        <v>0</v>
      </c>
      <c r="AF31" s="185">
        <v>4</v>
      </c>
      <c r="AG31" s="185">
        <v>45</v>
      </c>
      <c r="AH31" s="185">
        <f>AG31*29</f>
        <v>1305</v>
      </c>
      <c r="AI31" s="185">
        <v>160</v>
      </c>
      <c r="AJ31" s="207">
        <v>1</v>
      </c>
      <c r="AK31" s="207">
        <v>1.2</v>
      </c>
      <c r="AL31" s="207">
        <v>5</v>
      </c>
      <c r="AM31" s="207">
        <v>30</v>
      </c>
      <c r="AN31" s="282">
        <v>30</v>
      </c>
      <c r="AO31" s="282">
        <v>0</v>
      </c>
      <c r="AP31" s="282">
        <f t="shared" si="21"/>
        <v>0</v>
      </c>
      <c r="AQ31" s="282">
        <v>0</v>
      </c>
      <c r="AR31" s="62">
        <v>3</v>
      </c>
      <c r="AS31" s="62">
        <v>333</v>
      </c>
      <c r="AT31" s="62">
        <v>60</v>
      </c>
      <c r="AU31" s="62">
        <v>0.63</v>
      </c>
      <c r="AV31" s="62">
        <v>17.100000000000001</v>
      </c>
      <c r="AW31" s="62">
        <v>6.57</v>
      </c>
      <c r="AX31" s="62">
        <v>6</v>
      </c>
      <c r="AY31" s="62">
        <v>7</v>
      </c>
      <c r="AZ31" s="276">
        <v>900</v>
      </c>
      <c r="BA31" s="94">
        <v>600</v>
      </c>
      <c r="BB31" s="95">
        <f t="shared" si="22"/>
        <v>300</v>
      </c>
      <c r="BC31" s="124"/>
      <c r="BD31" s="124"/>
      <c r="BE31" s="124"/>
      <c r="BF31" s="124"/>
      <c r="BG31" s="124"/>
      <c r="BH31" s="124"/>
      <c r="BI31" s="124"/>
      <c r="BJ31" s="124"/>
      <c r="BK31" s="124"/>
      <c r="BL31" s="124">
        <f t="shared" si="23"/>
        <v>0</v>
      </c>
      <c r="BM31" s="188">
        <f t="shared" si="6"/>
        <v>6.57</v>
      </c>
      <c r="BN31" s="188">
        <f t="shared" si="7"/>
        <v>6</v>
      </c>
      <c r="BO31" s="188">
        <f t="shared" si="8"/>
        <v>7</v>
      </c>
      <c r="BP31" s="188">
        <f t="shared" si="9"/>
        <v>900</v>
      </c>
      <c r="BQ31" s="188">
        <f t="shared" si="10"/>
        <v>17.100000000000001</v>
      </c>
      <c r="BR31" s="188">
        <f t="shared" si="24"/>
        <v>60</v>
      </c>
      <c r="BS31" s="188">
        <f t="shared" si="25"/>
        <v>393</v>
      </c>
      <c r="BT31" s="86">
        <v>4.5</v>
      </c>
      <c r="BU31" s="86">
        <v>600</v>
      </c>
      <c r="BV31" s="86">
        <v>1</v>
      </c>
      <c r="BW31" s="86">
        <v>5</v>
      </c>
      <c r="BX31" s="86">
        <v>65</v>
      </c>
      <c r="BY31" s="86">
        <v>45</v>
      </c>
      <c r="BZ31" s="86">
        <f t="shared" si="26"/>
        <v>110</v>
      </c>
      <c r="CA31" s="192">
        <v>2.5</v>
      </c>
      <c r="CB31" s="192">
        <v>400</v>
      </c>
      <c r="CC31" s="192">
        <v>1</v>
      </c>
      <c r="CD31" s="192">
        <v>3.6</v>
      </c>
      <c r="CE31" s="192">
        <v>64</v>
      </c>
      <c r="CF31" s="192">
        <v>50</v>
      </c>
      <c r="CG31" s="192">
        <f t="shared" si="27"/>
        <v>114</v>
      </c>
      <c r="CH31" s="4">
        <f>1150-420</f>
        <v>730</v>
      </c>
      <c r="CI31" s="4">
        <f>520-130</f>
        <v>390</v>
      </c>
      <c r="CJ31" s="55">
        <f t="shared" si="28"/>
        <v>0</v>
      </c>
      <c r="CK31" s="4">
        <v>128</v>
      </c>
      <c r="CL31" s="4">
        <f t="shared" si="45"/>
        <v>390</v>
      </c>
      <c r="CM31" s="22">
        <f t="shared" si="12"/>
        <v>160</v>
      </c>
      <c r="CN31" s="4">
        <v>0</v>
      </c>
      <c r="CO31" s="4">
        <v>200</v>
      </c>
      <c r="CP31" s="4">
        <f t="shared" si="29"/>
        <v>350</v>
      </c>
      <c r="CQ31" s="4">
        <v>100</v>
      </c>
      <c r="CR31" s="37">
        <f t="shared" si="30"/>
        <v>2448</v>
      </c>
      <c r="CS31" s="4">
        <v>2000</v>
      </c>
      <c r="CT31" s="47">
        <f t="shared" si="42"/>
        <v>794</v>
      </c>
      <c r="CU31" s="180">
        <f t="shared" si="31"/>
        <v>2000</v>
      </c>
      <c r="CV31" s="46">
        <f t="shared" si="32"/>
        <v>2794</v>
      </c>
      <c r="CW31" s="47">
        <f t="shared" si="33"/>
        <v>2448</v>
      </c>
      <c r="CX31" s="181"/>
      <c r="CY31" s="181">
        <f t="shared" si="34"/>
        <v>346</v>
      </c>
      <c r="CZ31" s="91">
        <v>2417</v>
      </c>
      <c r="DA31" s="190">
        <f t="shared" si="35"/>
        <v>390</v>
      </c>
      <c r="DB31" s="191">
        <f t="shared" si="36"/>
        <v>160</v>
      </c>
      <c r="DC31" s="190">
        <f t="shared" si="13"/>
        <v>393</v>
      </c>
      <c r="DD31" s="192">
        <f>BL31</f>
        <v>0</v>
      </c>
      <c r="DE31" s="192">
        <f t="shared" si="38"/>
        <v>110</v>
      </c>
      <c r="DF31" s="192">
        <f t="shared" si="39"/>
        <v>114</v>
      </c>
      <c r="DG31" s="192">
        <f t="shared" si="43"/>
        <v>350</v>
      </c>
      <c r="DH31" s="192">
        <f t="shared" si="14"/>
        <v>0</v>
      </c>
      <c r="DI31" s="191">
        <f t="shared" si="41"/>
        <v>900</v>
      </c>
      <c r="DJ31" s="298">
        <f t="shared" si="15"/>
        <v>1250</v>
      </c>
      <c r="DK31" s="70">
        <v>7389</v>
      </c>
      <c r="DL31" s="182">
        <f t="shared" si="16"/>
        <v>900</v>
      </c>
      <c r="DM31" s="184">
        <f t="shared" si="17"/>
        <v>503</v>
      </c>
    </row>
    <row r="32" spans="1:117" ht="18">
      <c r="A32" s="32">
        <f t="shared" si="18"/>
        <v>46172</v>
      </c>
      <c r="B32" s="34">
        <v>5</v>
      </c>
      <c r="C32" s="4">
        <v>29</v>
      </c>
      <c r="D32" s="4">
        <v>33</v>
      </c>
      <c r="E32" s="4"/>
      <c r="F32" s="4">
        <f t="shared" si="19"/>
        <v>67</v>
      </c>
      <c r="G32" s="4">
        <f t="shared" si="0"/>
        <v>150</v>
      </c>
      <c r="H32" s="4">
        <f t="shared" si="1"/>
        <v>870</v>
      </c>
      <c r="I32" s="4">
        <f t="shared" si="2"/>
        <v>990</v>
      </c>
      <c r="J32" s="4">
        <f t="shared" si="3"/>
        <v>0</v>
      </c>
      <c r="K32" s="30">
        <f t="shared" si="4"/>
        <v>2010</v>
      </c>
      <c r="L32" s="58">
        <f t="shared" si="5"/>
        <v>745</v>
      </c>
      <c r="M32" s="213">
        <v>3</v>
      </c>
      <c r="N32" s="185">
        <v>11.4</v>
      </c>
      <c r="O32" s="185">
        <v>14</v>
      </c>
      <c r="P32" s="185">
        <v>61.65</v>
      </c>
      <c r="Q32" s="185">
        <v>6.5</v>
      </c>
      <c r="R32" s="185">
        <v>0</v>
      </c>
      <c r="S32" s="301">
        <v>3.8</v>
      </c>
      <c r="T32" s="301">
        <v>24</v>
      </c>
      <c r="U32" s="301">
        <v>10.3</v>
      </c>
      <c r="V32" s="301">
        <v>202</v>
      </c>
      <c r="W32" s="185">
        <f t="shared" si="44"/>
        <v>55.15</v>
      </c>
      <c r="X32" s="207">
        <v>0</v>
      </c>
      <c r="Y32" s="207">
        <v>0</v>
      </c>
      <c r="Z32" s="207">
        <v>0</v>
      </c>
      <c r="AA32" s="207">
        <v>0</v>
      </c>
      <c r="AB32" s="207">
        <v>0</v>
      </c>
      <c r="AC32" s="207">
        <v>0</v>
      </c>
      <c r="AD32" s="185">
        <v>4.4000000000000004</v>
      </c>
      <c r="AE32" s="185">
        <v>0</v>
      </c>
      <c r="AF32" s="185">
        <v>2</v>
      </c>
      <c r="AG32" s="185">
        <v>42</v>
      </c>
      <c r="AH32" s="185">
        <f>AG32*29</f>
        <v>1218</v>
      </c>
      <c r="AI32" s="185">
        <v>170</v>
      </c>
      <c r="AJ32" s="207">
        <v>1</v>
      </c>
      <c r="AK32" s="207">
        <v>5</v>
      </c>
      <c r="AL32" s="207">
        <v>25</v>
      </c>
      <c r="AM32" s="207">
        <v>150</v>
      </c>
      <c r="AN32" s="282">
        <v>150</v>
      </c>
      <c r="AO32" s="282">
        <v>0</v>
      </c>
      <c r="AP32" s="282">
        <f t="shared" si="21"/>
        <v>0</v>
      </c>
      <c r="AQ32" s="283">
        <v>100</v>
      </c>
      <c r="AR32" s="62">
        <v>3</v>
      </c>
      <c r="AS32" s="62">
        <v>295</v>
      </c>
      <c r="AT32" s="62">
        <v>30</v>
      </c>
      <c r="AU32" s="62">
        <v>1.9</v>
      </c>
      <c r="AV32" s="62">
        <v>20.2</v>
      </c>
      <c r="AW32" s="62">
        <v>5.23</v>
      </c>
      <c r="AX32" s="62">
        <v>6</v>
      </c>
      <c r="AY32" s="62">
        <v>6</v>
      </c>
      <c r="AZ32" s="276">
        <v>800</v>
      </c>
      <c r="BA32" s="94">
        <v>400</v>
      </c>
      <c r="BB32" s="95">
        <f t="shared" si="22"/>
        <v>400</v>
      </c>
      <c r="BC32" s="124"/>
      <c r="BD32" s="124"/>
      <c r="BE32" s="124"/>
      <c r="BF32" s="124"/>
      <c r="BG32" s="124"/>
      <c r="BH32" s="124"/>
      <c r="BI32" s="124"/>
      <c r="BJ32" s="124"/>
      <c r="BK32" s="124"/>
      <c r="BL32" s="124">
        <f t="shared" si="23"/>
        <v>0</v>
      </c>
      <c r="BM32" s="188">
        <f t="shared" si="6"/>
        <v>5.23</v>
      </c>
      <c r="BN32" s="188">
        <f t="shared" si="7"/>
        <v>6</v>
      </c>
      <c r="BO32" s="188">
        <f t="shared" si="8"/>
        <v>6</v>
      </c>
      <c r="BP32" s="188">
        <f t="shared" si="9"/>
        <v>800</v>
      </c>
      <c r="BQ32" s="188">
        <f t="shared" si="10"/>
        <v>20.2</v>
      </c>
      <c r="BR32" s="188">
        <f t="shared" si="24"/>
        <v>30</v>
      </c>
      <c r="BS32" s="188">
        <f t="shared" si="25"/>
        <v>325</v>
      </c>
      <c r="BT32" s="86">
        <v>3.4</v>
      </c>
      <c r="BU32" s="86">
        <v>500</v>
      </c>
      <c r="BV32" s="86">
        <v>1</v>
      </c>
      <c r="BW32" s="86">
        <v>4.3</v>
      </c>
      <c r="BX32" s="86">
        <v>58</v>
      </c>
      <c r="BY32" s="86">
        <v>35</v>
      </c>
      <c r="BZ32" s="86">
        <f t="shared" si="26"/>
        <v>93</v>
      </c>
      <c r="CA32" s="192">
        <v>0</v>
      </c>
      <c r="CB32" s="192">
        <v>0</v>
      </c>
      <c r="CC32" s="192">
        <v>0</v>
      </c>
      <c r="CD32" s="192">
        <v>0</v>
      </c>
      <c r="CE32" s="192">
        <v>0</v>
      </c>
      <c r="CF32" s="192"/>
      <c r="CG32" s="192">
        <v>0</v>
      </c>
      <c r="CH32" s="4">
        <f>1150-170</f>
        <v>980</v>
      </c>
      <c r="CI32" s="4">
        <v>195</v>
      </c>
      <c r="CJ32" s="55">
        <f t="shared" si="28"/>
        <v>100</v>
      </c>
      <c r="CK32" s="4">
        <v>80</v>
      </c>
      <c r="CL32" s="4">
        <f t="shared" si="45"/>
        <v>0</v>
      </c>
      <c r="CM32" s="22">
        <f t="shared" si="12"/>
        <v>170</v>
      </c>
      <c r="CN32" s="4"/>
      <c r="CO32" s="4">
        <v>0</v>
      </c>
      <c r="CP32" s="4">
        <f t="shared" si="29"/>
        <v>202</v>
      </c>
      <c r="CQ32" s="4"/>
      <c r="CR32" s="37">
        <f t="shared" si="30"/>
        <v>1727</v>
      </c>
      <c r="CS32" s="4">
        <v>2500</v>
      </c>
      <c r="CT32" s="47">
        <f t="shared" si="42"/>
        <v>346</v>
      </c>
      <c r="CU32" s="180">
        <f t="shared" si="31"/>
        <v>2500</v>
      </c>
      <c r="CV32" s="46">
        <f t="shared" si="32"/>
        <v>2846</v>
      </c>
      <c r="CW32" s="47">
        <f t="shared" si="33"/>
        <v>1727</v>
      </c>
      <c r="CX32" s="181"/>
      <c r="CY32" s="181">
        <f t="shared" si="34"/>
        <v>1119</v>
      </c>
      <c r="CZ32" s="91">
        <v>1599</v>
      </c>
      <c r="DA32" s="190">
        <f t="shared" si="35"/>
        <v>0</v>
      </c>
      <c r="DB32" s="191">
        <f t="shared" si="36"/>
        <v>170</v>
      </c>
      <c r="DC32" s="190">
        <f t="shared" si="13"/>
        <v>325</v>
      </c>
      <c r="DD32" s="192">
        <f t="shared" si="37"/>
        <v>0</v>
      </c>
      <c r="DE32" s="192">
        <f t="shared" si="38"/>
        <v>93</v>
      </c>
      <c r="DF32" s="192">
        <f t="shared" si="39"/>
        <v>0</v>
      </c>
      <c r="DG32" s="192">
        <f t="shared" si="43"/>
        <v>202</v>
      </c>
      <c r="DH32" s="192">
        <f t="shared" si="14"/>
        <v>100</v>
      </c>
      <c r="DI32" s="191">
        <f t="shared" si="41"/>
        <v>709</v>
      </c>
      <c r="DJ32" s="298">
        <f t="shared" si="15"/>
        <v>1011</v>
      </c>
      <c r="DK32" s="278">
        <v>7517</v>
      </c>
      <c r="DL32" s="182">
        <f t="shared" si="16"/>
        <v>809</v>
      </c>
      <c r="DM32" s="184">
        <f t="shared" si="17"/>
        <v>418</v>
      </c>
    </row>
    <row r="33" spans="1:118" ht="18.600000000000001" thickBot="1">
      <c r="A33" s="32">
        <f t="shared" si="18"/>
        <v>46173</v>
      </c>
      <c r="B33" s="27"/>
      <c r="C33" s="27"/>
      <c r="D33" s="27"/>
      <c r="E33" s="27"/>
      <c r="F33" s="4">
        <f t="shared" si="19"/>
        <v>0</v>
      </c>
      <c r="G33" s="4">
        <f t="shared" si="0"/>
        <v>0</v>
      </c>
      <c r="H33" s="4">
        <f t="shared" si="1"/>
        <v>0</v>
      </c>
      <c r="I33" s="4">
        <f t="shared" si="2"/>
        <v>0</v>
      </c>
      <c r="J33" s="4">
        <f t="shared" si="3"/>
        <v>0</v>
      </c>
      <c r="K33" s="30">
        <f t="shared" si="4"/>
        <v>0</v>
      </c>
      <c r="L33" s="58">
        <f t="shared" si="5"/>
        <v>0</v>
      </c>
      <c r="M33" s="216"/>
      <c r="N33" s="185"/>
      <c r="O33" s="185"/>
      <c r="P33" s="185"/>
      <c r="Q33" s="185"/>
      <c r="R33" s="185"/>
      <c r="S33" s="301"/>
      <c r="T33" s="301"/>
      <c r="U33" s="301"/>
      <c r="V33" s="301"/>
      <c r="W33" s="185">
        <f t="shared" si="44"/>
        <v>0</v>
      </c>
      <c r="X33" s="208"/>
      <c r="Y33" s="208"/>
      <c r="Z33" s="208"/>
      <c r="AA33" s="208"/>
      <c r="AB33" s="208"/>
      <c r="AC33" s="208"/>
      <c r="AD33" s="186"/>
      <c r="AE33" s="186"/>
      <c r="AF33" s="186"/>
      <c r="AG33" s="186"/>
      <c r="AH33" s="185"/>
      <c r="AI33" s="186"/>
      <c r="AJ33" s="208"/>
      <c r="AK33" s="208"/>
      <c r="AL33" s="208"/>
      <c r="AM33" s="208"/>
      <c r="AN33" s="284"/>
      <c r="AO33" s="284"/>
      <c r="AP33" s="282">
        <f t="shared" si="21"/>
        <v>0</v>
      </c>
      <c r="AQ33" s="286"/>
      <c r="AR33" s="102"/>
      <c r="AS33" s="102"/>
      <c r="AT33" s="102"/>
      <c r="AU33" s="102"/>
      <c r="AV33" s="102"/>
      <c r="AW33" s="102"/>
      <c r="AX33" s="102"/>
      <c r="AY33" s="102"/>
      <c r="AZ33" s="279"/>
      <c r="BA33" s="94"/>
      <c r="BB33" s="95">
        <f t="shared" si="22"/>
        <v>0</v>
      </c>
      <c r="BC33" s="124"/>
      <c r="BD33" s="124"/>
      <c r="BE33" s="124"/>
      <c r="BF33" s="127"/>
      <c r="BG33" s="127"/>
      <c r="BH33" s="127"/>
      <c r="BI33" s="127"/>
      <c r="BJ33" s="127"/>
      <c r="BK33" s="127"/>
      <c r="BL33" s="124">
        <f t="shared" si="23"/>
        <v>0</v>
      </c>
      <c r="BM33" s="188">
        <f t="shared" si="6"/>
        <v>0</v>
      </c>
      <c r="BN33" s="188">
        <f t="shared" si="7"/>
        <v>0</v>
      </c>
      <c r="BO33" s="188">
        <f t="shared" si="8"/>
        <v>0</v>
      </c>
      <c r="BP33" s="188">
        <f t="shared" si="9"/>
        <v>0</v>
      </c>
      <c r="BQ33" s="188">
        <f t="shared" si="10"/>
        <v>0</v>
      </c>
      <c r="BR33" s="188">
        <f t="shared" si="24"/>
        <v>0</v>
      </c>
      <c r="BS33" s="188">
        <f t="shared" si="25"/>
        <v>0</v>
      </c>
      <c r="BT33" s="88"/>
      <c r="BU33" s="88"/>
      <c r="BV33" s="86"/>
      <c r="BW33" s="86"/>
      <c r="BX33" s="86"/>
      <c r="BY33" s="86"/>
      <c r="BZ33" s="86">
        <f t="shared" si="26"/>
        <v>0</v>
      </c>
      <c r="CA33" s="320"/>
      <c r="CB33" s="320"/>
      <c r="CC33" s="320"/>
      <c r="CD33" s="320"/>
      <c r="CE33" s="320"/>
      <c r="CF33" s="320"/>
      <c r="CG33" s="192">
        <f t="shared" si="27"/>
        <v>0</v>
      </c>
      <c r="CH33" s="27"/>
      <c r="CI33" s="27"/>
      <c r="CJ33" s="55">
        <f t="shared" si="28"/>
        <v>0</v>
      </c>
      <c r="CK33" s="27"/>
      <c r="CL33" s="4">
        <f t="shared" si="45"/>
        <v>0</v>
      </c>
      <c r="CM33" s="22">
        <f t="shared" si="12"/>
        <v>0</v>
      </c>
      <c r="CN33" s="27"/>
      <c r="CO33" s="27"/>
      <c r="CP33" s="4">
        <f t="shared" si="29"/>
        <v>0</v>
      </c>
      <c r="CQ33" s="4"/>
      <c r="CR33" s="37">
        <f t="shared" si="30"/>
        <v>0</v>
      </c>
      <c r="CS33" s="18"/>
      <c r="CT33" s="47">
        <f t="shared" si="42"/>
        <v>1119</v>
      </c>
      <c r="CU33" s="180">
        <f t="shared" si="31"/>
        <v>0</v>
      </c>
      <c r="CV33" s="46">
        <f t="shared" si="32"/>
        <v>1119</v>
      </c>
      <c r="CW33" s="47">
        <f t="shared" si="33"/>
        <v>0</v>
      </c>
      <c r="CX33" s="181"/>
      <c r="CY33" s="181">
        <f t="shared" si="34"/>
        <v>1119</v>
      </c>
      <c r="CZ33" s="91"/>
      <c r="DA33" s="190">
        <f t="shared" si="35"/>
        <v>0</v>
      </c>
      <c r="DB33" s="191">
        <f t="shared" si="36"/>
        <v>0</v>
      </c>
      <c r="DC33" s="190">
        <f t="shared" si="13"/>
        <v>0</v>
      </c>
      <c r="DD33" s="192">
        <f t="shared" si="37"/>
        <v>0</v>
      </c>
      <c r="DE33" s="192">
        <f t="shared" si="38"/>
        <v>0</v>
      </c>
      <c r="DF33" s="192">
        <f t="shared" si="39"/>
        <v>0</v>
      </c>
      <c r="DG33" s="192">
        <f t="shared" si="43"/>
        <v>0</v>
      </c>
      <c r="DH33" s="192">
        <f t="shared" si="14"/>
        <v>0</v>
      </c>
      <c r="DI33" s="191">
        <f t="shared" si="41"/>
        <v>0</v>
      </c>
      <c r="DJ33" s="298">
        <f t="shared" si="15"/>
        <v>0</v>
      </c>
      <c r="DM33" s="184">
        <f t="shared" si="17"/>
        <v>0</v>
      </c>
    </row>
    <row r="34" spans="1:118" ht="18.600000000000001" thickBot="1">
      <c r="A34" s="78" t="s">
        <v>27</v>
      </c>
      <c r="B34" s="79">
        <f t="shared" ref="B34:BB34" si="47">SUM(B3:B33)</f>
        <v>345</v>
      </c>
      <c r="C34" s="79">
        <f t="shared" si="47"/>
        <v>595</v>
      </c>
      <c r="D34" s="79">
        <f t="shared" si="47"/>
        <v>1652</v>
      </c>
      <c r="E34" s="79">
        <f t="shared" si="47"/>
        <v>0</v>
      </c>
      <c r="F34" s="79">
        <f t="shared" si="47"/>
        <v>2592</v>
      </c>
      <c r="G34" s="79">
        <f t="shared" si="47"/>
        <v>10350</v>
      </c>
      <c r="H34" s="79">
        <f t="shared" si="47"/>
        <v>17850</v>
      </c>
      <c r="I34" s="26">
        <f t="shared" si="47"/>
        <v>49560</v>
      </c>
      <c r="J34" s="26">
        <f t="shared" si="47"/>
        <v>0</v>
      </c>
      <c r="K34" s="26">
        <f>SUM(K3:K33)</f>
        <v>77760</v>
      </c>
      <c r="L34" s="26">
        <f t="shared" si="47"/>
        <v>28813</v>
      </c>
      <c r="M34" s="187"/>
      <c r="N34" s="187">
        <f t="shared" si="47"/>
        <v>359.3</v>
      </c>
      <c r="O34" s="187">
        <f t="shared" si="47"/>
        <v>379</v>
      </c>
      <c r="P34" s="187">
        <f t="shared" si="47"/>
        <v>2345.5</v>
      </c>
      <c r="Q34" s="187">
        <f t="shared" si="47"/>
        <v>163.54999999999998</v>
      </c>
      <c r="R34" s="187">
        <f t="shared" si="47"/>
        <v>478.50000000000006</v>
      </c>
      <c r="S34" s="303">
        <f t="shared" si="47"/>
        <v>94.1</v>
      </c>
      <c r="T34" s="303">
        <f t="shared" si="47"/>
        <v>676</v>
      </c>
      <c r="U34" s="303">
        <f t="shared" si="47"/>
        <v>271.8</v>
      </c>
      <c r="V34" s="303">
        <f t="shared" si="47"/>
        <v>5043</v>
      </c>
      <c r="W34" s="187">
        <f t="shared" si="47"/>
        <v>1703.45</v>
      </c>
      <c r="X34" s="187">
        <f t="shared" si="47"/>
        <v>53</v>
      </c>
      <c r="Y34" s="187">
        <f t="shared" si="47"/>
        <v>127.4</v>
      </c>
      <c r="Z34" s="187"/>
      <c r="AA34" s="187">
        <f t="shared" si="47"/>
        <v>1482</v>
      </c>
      <c r="AB34" s="187">
        <f t="shared" si="47"/>
        <v>47695.759999999995</v>
      </c>
      <c r="AC34" s="187">
        <f t="shared" si="47"/>
        <v>6662</v>
      </c>
      <c r="AD34" s="187"/>
      <c r="AE34" s="187"/>
      <c r="AF34" s="187"/>
      <c r="AG34" s="187">
        <f t="shared" si="47"/>
        <v>700</v>
      </c>
      <c r="AH34" s="187">
        <f t="shared" si="47"/>
        <v>20300</v>
      </c>
      <c r="AI34" s="187">
        <f t="shared" si="47"/>
        <v>3159</v>
      </c>
      <c r="AJ34" s="287"/>
      <c r="AK34" s="288">
        <f t="shared" si="47"/>
        <v>144.30000000000001</v>
      </c>
      <c r="AL34" s="288">
        <f t="shared" si="47"/>
        <v>782</v>
      </c>
      <c r="AM34" s="288">
        <f t="shared" si="47"/>
        <v>3191.2999999999997</v>
      </c>
      <c r="AN34" s="288">
        <f t="shared" si="47"/>
        <v>1334.4</v>
      </c>
      <c r="AO34" s="288">
        <f t="shared" si="47"/>
        <v>1718.3999999999999</v>
      </c>
      <c r="AP34" s="288">
        <f t="shared" si="47"/>
        <v>138.5</v>
      </c>
      <c r="AQ34" s="288">
        <f t="shared" si="47"/>
        <v>4683</v>
      </c>
      <c r="AR34" s="103">
        <f>SUM(AR3:AR33)</f>
        <v>71</v>
      </c>
      <c r="AS34" s="103">
        <f t="shared" si="47"/>
        <v>7151</v>
      </c>
      <c r="AT34" s="103">
        <f t="shared" si="47"/>
        <v>1026</v>
      </c>
      <c r="AU34" s="103">
        <f>SUM(AU3:AU33)</f>
        <v>34.97</v>
      </c>
      <c r="AV34" s="103">
        <f t="shared" si="47"/>
        <v>438.9</v>
      </c>
      <c r="AW34" s="103">
        <f t="shared" si="47"/>
        <v>189.65999999999997</v>
      </c>
      <c r="AX34" s="103">
        <f t="shared" si="47"/>
        <v>198</v>
      </c>
      <c r="AY34" s="103">
        <f t="shared" si="47"/>
        <v>204</v>
      </c>
      <c r="AZ34" s="290">
        <f>SUM(AZ3:AZ33)</f>
        <v>34200</v>
      </c>
      <c r="BA34" s="280">
        <f t="shared" si="47"/>
        <v>17250</v>
      </c>
      <c r="BB34" s="103">
        <f t="shared" si="47"/>
        <v>16950</v>
      </c>
      <c r="BC34" s="72">
        <f t="shared" ref="BC34:CG34" si="48">SUM(BC3:BC33)</f>
        <v>0</v>
      </c>
      <c r="BD34" s="72">
        <f t="shared" si="48"/>
        <v>0</v>
      </c>
      <c r="BE34" s="72">
        <f t="shared" si="48"/>
        <v>0</v>
      </c>
      <c r="BF34" s="72">
        <f t="shared" si="48"/>
        <v>0</v>
      </c>
      <c r="BG34" s="72">
        <f t="shared" si="48"/>
        <v>0</v>
      </c>
      <c r="BH34" s="72"/>
      <c r="BI34" s="72">
        <f t="shared" si="48"/>
        <v>0</v>
      </c>
      <c r="BJ34" s="72">
        <f t="shared" si="48"/>
        <v>0</v>
      </c>
      <c r="BK34" s="72">
        <f t="shared" si="48"/>
        <v>0</v>
      </c>
      <c r="BL34" s="72">
        <f t="shared" si="48"/>
        <v>0</v>
      </c>
      <c r="BM34" s="72">
        <f t="shared" si="48"/>
        <v>189.65999999999997</v>
      </c>
      <c r="BN34" s="72">
        <f t="shared" si="48"/>
        <v>198</v>
      </c>
      <c r="BO34" s="72">
        <f t="shared" si="48"/>
        <v>204</v>
      </c>
      <c r="BP34" s="72">
        <f t="shared" si="48"/>
        <v>34200</v>
      </c>
      <c r="BQ34" s="72">
        <f t="shared" si="48"/>
        <v>438.9</v>
      </c>
      <c r="BR34" s="72">
        <f t="shared" si="48"/>
        <v>1026</v>
      </c>
      <c r="BS34" s="72">
        <f t="shared" si="48"/>
        <v>8177</v>
      </c>
      <c r="BT34" s="179">
        <f t="shared" si="48"/>
        <v>117.50000000000003</v>
      </c>
      <c r="BU34" s="179">
        <f t="shared" si="48"/>
        <v>13300</v>
      </c>
      <c r="BV34" s="179">
        <f t="shared" si="48"/>
        <v>36</v>
      </c>
      <c r="BW34" s="179">
        <f t="shared" si="48"/>
        <v>194.29999999999998</v>
      </c>
      <c r="BX34" s="179">
        <f t="shared" si="48"/>
        <v>3090</v>
      </c>
      <c r="BY34" s="179">
        <f t="shared" si="48"/>
        <v>1296</v>
      </c>
      <c r="BZ34" s="179">
        <f t="shared" si="48"/>
        <v>4386</v>
      </c>
      <c r="CA34" s="324">
        <f t="shared" si="48"/>
        <v>8.1</v>
      </c>
      <c r="CB34" s="324">
        <f t="shared" si="48"/>
        <v>1400</v>
      </c>
      <c r="CC34" s="324">
        <f t="shared" si="48"/>
        <v>4</v>
      </c>
      <c r="CD34" s="324">
        <f t="shared" si="48"/>
        <v>21.900000000000002</v>
      </c>
      <c r="CE34" s="324">
        <f t="shared" si="48"/>
        <v>204</v>
      </c>
      <c r="CF34" s="324">
        <f t="shared" si="48"/>
        <v>150</v>
      </c>
      <c r="CG34" s="324">
        <f t="shared" si="48"/>
        <v>354</v>
      </c>
      <c r="CH34" s="63">
        <f>SUM(CH3:CH33)</f>
        <v>26353</v>
      </c>
      <c r="CI34" s="63">
        <f t="shared" ref="CI34:CS34" si="49">SUM(CI3:CI33)</f>
        <v>8674</v>
      </c>
      <c r="CJ34" s="63">
        <f>SUM(CJ3:CJ33)</f>
        <v>4683</v>
      </c>
      <c r="CK34" s="63">
        <f t="shared" si="49"/>
        <v>2879</v>
      </c>
      <c r="CL34" s="63">
        <f t="shared" si="49"/>
        <v>6662</v>
      </c>
      <c r="CM34" s="63">
        <f t="shared" si="49"/>
        <v>3159</v>
      </c>
      <c r="CN34" s="63">
        <f t="shared" si="49"/>
        <v>0</v>
      </c>
      <c r="CO34" s="63">
        <f t="shared" si="49"/>
        <v>3163</v>
      </c>
      <c r="CP34" s="63">
        <f t="shared" si="49"/>
        <v>5043</v>
      </c>
      <c r="CQ34" s="63">
        <f t="shared" si="49"/>
        <v>300</v>
      </c>
      <c r="CR34" s="63">
        <f t="shared" si="49"/>
        <v>60916</v>
      </c>
      <c r="CS34" s="63">
        <f t="shared" si="49"/>
        <v>61798</v>
      </c>
      <c r="CT34" s="90">
        <f t="shared" ref="CT34:CZ34" si="50">SUM(CT3:CT33)</f>
        <v>42322</v>
      </c>
      <c r="CU34" s="90">
        <f t="shared" si="50"/>
        <v>61798</v>
      </c>
      <c r="CV34" s="90">
        <f t="shared" si="50"/>
        <v>104120</v>
      </c>
      <c r="CW34" s="90">
        <f t="shared" si="50"/>
        <v>60916</v>
      </c>
      <c r="CX34" s="90">
        <f t="shared" si="50"/>
        <v>0</v>
      </c>
      <c r="CY34" s="90">
        <f t="shared" si="50"/>
        <v>43204</v>
      </c>
      <c r="CZ34" s="92">
        <f t="shared" si="50"/>
        <v>60029</v>
      </c>
      <c r="DA34" s="190">
        <f>SUM(DA3:DA33)</f>
        <v>6662</v>
      </c>
      <c r="DB34" s="190">
        <f t="shared" ref="DB34:DN34" si="51">SUM(DB3:DB33)</f>
        <v>3159</v>
      </c>
      <c r="DC34" s="190">
        <f t="shared" si="51"/>
        <v>8177</v>
      </c>
      <c r="DD34" s="190">
        <f t="shared" si="51"/>
        <v>0</v>
      </c>
      <c r="DE34" s="190">
        <f t="shared" si="51"/>
        <v>4386</v>
      </c>
      <c r="DF34" s="190"/>
      <c r="DG34" s="190"/>
      <c r="DH34" s="190">
        <f t="shared" si="51"/>
        <v>4683</v>
      </c>
      <c r="DI34" s="190">
        <f t="shared" si="51"/>
        <v>27565</v>
      </c>
      <c r="DJ34" s="190">
        <f t="shared" si="51"/>
        <v>37291</v>
      </c>
      <c r="DK34" s="73">
        <f t="shared" si="51"/>
        <v>134293</v>
      </c>
      <c r="DL34" s="73">
        <f t="shared" si="51"/>
        <v>32248</v>
      </c>
      <c r="DM34" s="73">
        <f t="shared" si="51"/>
        <v>12563</v>
      </c>
      <c r="DN34" s="73">
        <f t="shared" si="51"/>
        <v>28158</v>
      </c>
    </row>
    <row r="35" spans="1:118" ht="14.4" customHeight="1">
      <c r="A35" s="80" t="s">
        <v>104</v>
      </c>
      <c r="B35" s="81" t="s">
        <v>103</v>
      </c>
      <c r="C35" s="81" t="s">
        <v>33</v>
      </c>
      <c r="D35" s="81" t="s">
        <v>101</v>
      </c>
      <c r="E35" s="81" t="s">
        <v>55</v>
      </c>
      <c r="F35" s="81" t="s">
        <v>102</v>
      </c>
      <c r="G35" s="81" t="s">
        <v>55</v>
      </c>
      <c r="H35" s="81" t="s">
        <v>68</v>
      </c>
      <c r="I35" s="14"/>
      <c r="J35" s="14"/>
      <c r="K35" s="14">
        <f>K34-T35</f>
        <v>54100</v>
      </c>
      <c r="L35" s="14"/>
      <c r="M35" s="14"/>
      <c r="N35" s="14"/>
      <c r="O35" s="14"/>
      <c r="P35" s="14"/>
      <c r="Q35" s="14"/>
      <c r="R35" s="14"/>
      <c r="S35" s="14"/>
      <c r="T35" s="14">
        <f>T34*35</f>
        <v>23660</v>
      </c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4" t="s">
        <v>63</v>
      </c>
      <c r="AL35" s="36" t="s">
        <v>63</v>
      </c>
      <c r="AM35" s="36" t="s">
        <v>64</v>
      </c>
      <c r="AN35" s="56"/>
      <c r="AO35" s="56"/>
      <c r="AP35" s="56"/>
      <c r="AQ35" s="56"/>
      <c r="AR35" s="56"/>
      <c r="AS35" s="56"/>
      <c r="AT35" s="56"/>
      <c r="AU35" s="62"/>
      <c r="AV35" s="56"/>
      <c r="AW35" s="62"/>
      <c r="AX35" s="62"/>
      <c r="AY35" s="62"/>
      <c r="AZ35" s="51">
        <f>CI34/AZ34</f>
        <v>0.25362573099415203</v>
      </c>
      <c r="BA35" s="19"/>
      <c r="BB35" s="20"/>
      <c r="BC35" s="64"/>
      <c r="BD35" s="332"/>
      <c r="BE35" s="332"/>
      <c r="BF35" s="64"/>
      <c r="BG35" s="64"/>
      <c r="BH35" s="64"/>
      <c r="BI35" s="64"/>
      <c r="BJ35" s="64"/>
      <c r="BK35" s="118"/>
      <c r="BL35" s="118"/>
      <c r="BM35" s="118"/>
      <c r="BN35" s="118"/>
      <c r="BO35" s="118"/>
      <c r="BP35" s="118"/>
      <c r="BQ35" s="118"/>
      <c r="BR35" s="118"/>
      <c r="BS35" s="118"/>
      <c r="BT35" s="67"/>
      <c r="BU35" s="67"/>
      <c r="BV35" s="67"/>
      <c r="BW35" s="67"/>
      <c r="BX35" s="67"/>
      <c r="BY35" s="67"/>
      <c r="BZ35" s="118"/>
      <c r="CA35" s="298"/>
      <c r="CB35" s="298"/>
      <c r="CC35" s="298"/>
      <c r="CD35" s="298"/>
      <c r="CE35" s="298"/>
      <c r="CF35" s="298"/>
      <c r="CG35" s="298"/>
      <c r="CH35" s="25" t="s">
        <v>26</v>
      </c>
      <c r="CI35" s="335">
        <f>+CT3</f>
        <v>237</v>
      </c>
      <c r="CJ35" s="336"/>
      <c r="CK35" s="204"/>
      <c r="CL35" s="204"/>
      <c r="CM35" s="204"/>
      <c r="CN35" s="204"/>
      <c r="CO35" s="204"/>
      <c r="CP35" s="204"/>
      <c r="CQ35" s="204"/>
      <c r="CR35" s="20"/>
      <c r="CS35" s="204"/>
      <c r="CT35" s="89"/>
      <c r="CU35" s="89"/>
      <c r="CV35" s="89"/>
      <c r="CW35" s="89"/>
      <c r="CX35" s="89"/>
      <c r="CY35" s="89"/>
      <c r="CZ35" s="68"/>
    </row>
    <row r="36" spans="1:118" ht="14.4" customHeight="1">
      <c r="A36" s="80" t="s">
        <v>134</v>
      </c>
      <c r="B36" s="81">
        <f>220000/25</f>
        <v>8800</v>
      </c>
      <c r="C36" s="81">
        <v>50000</v>
      </c>
      <c r="D36" s="81"/>
      <c r="E36" s="81"/>
      <c r="F36" s="81">
        <v>15000</v>
      </c>
      <c r="G36" s="81"/>
      <c r="H36" s="81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4"/>
      <c r="AL36" s="36"/>
      <c r="AM36" s="36"/>
      <c r="AN36" s="56"/>
      <c r="AO36" s="56"/>
      <c r="AP36" s="56"/>
      <c r="AQ36" s="56"/>
      <c r="AR36" s="56"/>
      <c r="AS36" s="56"/>
      <c r="AT36" s="56"/>
      <c r="AU36" s="62"/>
      <c r="AV36" s="56"/>
      <c r="AW36" s="62"/>
      <c r="AX36" s="62"/>
      <c r="AY36" s="62"/>
      <c r="AZ36" s="51"/>
      <c r="BA36" s="19"/>
      <c r="BB36" s="20"/>
      <c r="BC36" s="64"/>
      <c r="BD36" s="333"/>
      <c r="BE36" s="333"/>
      <c r="BF36" s="64"/>
      <c r="BG36" s="64"/>
      <c r="BH36" s="64"/>
      <c r="BI36" s="64"/>
      <c r="BJ36" s="64"/>
      <c r="BK36" s="118"/>
      <c r="BL36" s="118"/>
      <c r="BM36" s="118"/>
      <c r="BN36" s="118"/>
      <c r="BO36" s="118"/>
      <c r="BP36" s="118"/>
      <c r="BQ36" s="118"/>
      <c r="BR36" s="118"/>
      <c r="BS36" s="118"/>
      <c r="BT36" s="67"/>
      <c r="BU36" s="67"/>
      <c r="BV36" s="67"/>
      <c r="BW36" s="67"/>
      <c r="BX36" s="67"/>
      <c r="BY36" s="67"/>
      <c r="BZ36" s="118"/>
      <c r="CA36" s="298"/>
      <c r="CB36" s="298"/>
      <c r="CC36" s="298"/>
      <c r="CD36" s="298"/>
      <c r="CE36" s="298"/>
      <c r="CF36" s="298"/>
      <c r="CG36" s="298"/>
      <c r="CH36" s="25"/>
      <c r="CI36" s="12"/>
      <c r="CJ36" s="289"/>
      <c r="CK36" s="204"/>
      <c r="CL36" s="204"/>
      <c r="CM36" s="204"/>
      <c r="CN36" s="204">
        <v>1115</v>
      </c>
      <c r="CO36" s="204"/>
      <c r="CP36" s="204"/>
      <c r="CQ36" s="204"/>
      <c r="CR36" s="20"/>
      <c r="CS36" s="204"/>
      <c r="CT36" s="89"/>
      <c r="CU36" s="89"/>
      <c r="CV36" s="89"/>
      <c r="CW36" s="89"/>
      <c r="CX36" s="89"/>
      <c r="CY36" s="295"/>
      <c r="CZ36" s="68"/>
    </row>
    <row r="37" spans="1:118" ht="15.6">
      <c r="A37" s="82" t="s">
        <v>105</v>
      </c>
      <c r="B37" s="83">
        <f>B36/30</f>
        <v>293.33333333333331</v>
      </c>
      <c r="C37" s="83">
        <f t="shared" ref="C37:F37" si="52">C36/25</f>
        <v>2000</v>
      </c>
      <c r="D37" s="83">
        <f t="shared" si="52"/>
        <v>0</v>
      </c>
      <c r="E37" s="83">
        <f t="shared" si="52"/>
        <v>0</v>
      </c>
      <c r="F37" s="83">
        <f t="shared" si="52"/>
        <v>600</v>
      </c>
      <c r="G37" s="83">
        <f>E37+F37</f>
        <v>600</v>
      </c>
      <c r="H37" s="84">
        <v>3000</v>
      </c>
      <c r="I37" s="43"/>
      <c r="J37" s="43"/>
      <c r="K37" s="15"/>
      <c r="L37" s="15"/>
      <c r="M37" s="15"/>
      <c r="N37" s="76"/>
      <c r="O37" s="77"/>
      <c r="P37" s="76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49"/>
      <c r="AH37" s="15"/>
      <c r="AI37" s="15"/>
      <c r="AJ37" s="15"/>
      <c r="AK37" s="45" t="e">
        <f>#REF!/AK34</f>
        <v>#REF!</v>
      </c>
      <c r="AL37" s="28" t="e">
        <f>#REF!/AL34</f>
        <v>#REF!</v>
      </c>
      <c r="AM37" s="29" t="e">
        <f>#REF!/AM34</f>
        <v>#REF!</v>
      </c>
      <c r="AN37" s="57"/>
      <c r="AO37" s="57"/>
      <c r="AP37" s="57"/>
      <c r="AQ37" s="57"/>
      <c r="AR37" s="119"/>
      <c r="AS37" s="119"/>
      <c r="AT37" s="119"/>
      <c r="AU37" s="3"/>
      <c r="AV37" s="119"/>
      <c r="AW37" s="3"/>
      <c r="AX37" s="3"/>
      <c r="AY37" s="3"/>
      <c r="AZ37" s="17">
        <f>(CH34+CJ34+CK34)/K34</f>
        <v>0.43614969135802467</v>
      </c>
      <c r="BA37" s="9">
        <f>BA34-BA35</f>
        <v>17250</v>
      </c>
      <c r="BB37" s="121">
        <f>BB34-BB35</f>
        <v>16950</v>
      </c>
      <c r="BC37" s="65"/>
      <c r="BD37" s="333"/>
      <c r="BE37" s="333"/>
      <c r="BF37" s="65"/>
      <c r="BG37" s="65"/>
      <c r="BH37" s="65"/>
      <c r="BI37" s="65"/>
      <c r="BJ37" s="65"/>
      <c r="BK37" s="119"/>
      <c r="BL37" s="119"/>
      <c r="BM37" s="119"/>
      <c r="BN37" s="119"/>
      <c r="BO37" s="119"/>
      <c r="BP37" s="119"/>
      <c r="BQ37" s="119"/>
      <c r="BR37" s="119"/>
      <c r="BS37" s="119"/>
      <c r="BT37" s="68"/>
      <c r="BU37" s="68"/>
      <c r="BV37" s="68"/>
      <c r="BW37" s="68"/>
      <c r="BX37" s="68"/>
      <c r="BY37" s="68"/>
      <c r="BZ37" s="119"/>
      <c r="CA37" s="321"/>
      <c r="CB37" s="321"/>
      <c r="CC37" s="321"/>
      <c r="CD37" s="321"/>
      <c r="CE37" s="321"/>
      <c r="CF37" s="321"/>
      <c r="CG37" s="321"/>
      <c r="CH37" s="4" t="s">
        <v>47</v>
      </c>
      <c r="CI37" s="337">
        <f>CR34+CX34</f>
        <v>60916</v>
      </c>
      <c r="CJ37" s="337"/>
      <c r="CK37" s="18"/>
      <c r="CL37" s="18"/>
      <c r="CM37" s="4" t="s">
        <v>57</v>
      </c>
      <c r="CN37" s="18">
        <v>227</v>
      </c>
      <c r="CO37" s="18"/>
      <c r="CP37" s="18"/>
      <c r="CQ37" s="18"/>
      <c r="CR37" s="4" t="s">
        <v>26</v>
      </c>
      <c r="CS37" s="38">
        <f>CT3</f>
        <v>237</v>
      </c>
      <c r="CT37" s="89"/>
      <c r="CU37" s="89"/>
      <c r="CV37" s="89"/>
      <c r="CW37" s="89"/>
      <c r="CX37" s="89"/>
      <c r="CY37" s="89"/>
      <c r="CZ37" s="68"/>
      <c r="DC37" s="20"/>
    </row>
    <row r="38" spans="1:118" ht="15.6">
      <c r="A38" s="43"/>
      <c r="B38" s="128"/>
      <c r="C38" s="128"/>
      <c r="D38" s="128"/>
      <c r="E38" s="128" t="s">
        <v>160</v>
      </c>
      <c r="F38" s="128">
        <f>F34-T34</f>
        <v>1916</v>
      </c>
      <c r="G38" s="128">
        <f>F38*30</f>
        <v>57480</v>
      </c>
      <c r="H38" s="129"/>
      <c r="I38" s="130"/>
      <c r="J38" s="130"/>
      <c r="K38" s="131"/>
      <c r="L38" s="131"/>
      <c r="M38" s="131"/>
      <c r="N38" s="132"/>
      <c r="O38" s="132"/>
      <c r="P38" s="132"/>
      <c r="Q38" s="13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/>
      <c r="AL38" s="16"/>
      <c r="AM38" s="16"/>
      <c r="AN38" s="16"/>
      <c r="AO38" s="16"/>
      <c r="AP38" s="16"/>
      <c r="AQ38" s="16"/>
      <c r="AR38" s="15"/>
      <c r="AS38" s="15"/>
      <c r="AT38" s="15"/>
      <c r="AU38" s="38"/>
      <c r="AV38" s="15"/>
      <c r="AW38" s="38"/>
      <c r="AX38" s="38"/>
      <c r="AY38" s="38"/>
      <c r="AZ38" s="133">
        <f>CM34/AH34</f>
        <v>0.15561576354679804</v>
      </c>
      <c r="BA38" s="9"/>
      <c r="BB38" s="14"/>
      <c r="BC38" s="134"/>
      <c r="BD38" s="13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322"/>
      <c r="CB38" s="322"/>
      <c r="CC38" s="322"/>
      <c r="CD38" s="322"/>
      <c r="CE38" s="322"/>
      <c r="CF38" s="322"/>
      <c r="CG38" s="322"/>
      <c r="CH38" s="4" t="s">
        <v>51</v>
      </c>
      <c r="CI38" s="337">
        <f>+CS34</f>
        <v>61798</v>
      </c>
      <c r="CJ38" s="337"/>
      <c r="CK38" s="18"/>
      <c r="CL38" s="18"/>
      <c r="CM38" s="4" t="s">
        <v>58</v>
      </c>
      <c r="CN38" s="18">
        <f>CN36-CN37</f>
        <v>888</v>
      </c>
      <c r="CO38" s="18"/>
      <c r="CP38" s="18"/>
      <c r="CQ38" s="18"/>
      <c r="CR38" s="4" t="s">
        <v>27</v>
      </c>
      <c r="CS38" s="38">
        <f>SUM(CS34:CS37)</f>
        <v>62035</v>
      </c>
      <c r="CT38" s="15"/>
      <c r="CU38" s="15"/>
      <c r="CV38" s="15"/>
      <c r="CW38" s="15"/>
      <c r="CX38" s="15"/>
      <c r="CY38" s="15"/>
      <c r="CZ38" s="15"/>
    </row>
    <row r="39" spans="1:118" ht="15.6">
      <c r="B39" s="135"/>
      <c r="C39" s="135"/>
      <c r="D39" s="135"/>
      <c r="E39" s="135" t="s">
        <v>161</v>
      </c>
      <c r="F39" s="135">
        <f>T34</f>
        <v>676</v>
      </c>
      <c r="G39" s="1">
        <f>F39*35</f>
        <v>23660</v>
      </c>
      <c r="AG39" s="1"/>
      <c r="AH39" s="1"/>
      <c r="AI39" s="1"/>
      <c r="AJ39" s="1"/>
      <c r="AR39" s="1"/>
      <c r="AS39" s="1"/>
      <c r="AT39" s="1"/>
      <c r="AU39" s="123"/>
      <c r="AV39" s="1"/>
      <c r="AW39" s="123"/>
      <c r="AX39" s="123"/>
      <c r="AY39" s="123"/>
      <c r="AZ39" s="133"/>
      <c r="BA39" s="21">
        <f>AZ34/AS34</f>
        <v>4.7825478953992446</v>
      </c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H39" s="292" t="s">
        <v>50</v>
      </c>
      <c r="CI39" s="334">
        <f>CI38+CI35-CI37</f>
        <v>1119</v>
      </c>
      <c r="CJ39" s="327"/>
      <c r="CK39" s="52"/>
      <c r="CL39" s="52"/>
      <c r="CM39" s="52"/>
      <c r="CN39" s="52"/>
      <c r="CO39" s="52"/>
      <c r="CP39" s="52"/>
      <c r="CQ39" s="52"/>
      <c r="CR39" s="52"/>
      <c r="CT39"/>
      <c r="CU39"/>
      <c r="CV39"/>
      <c r="CW39"/>
      <c r="CX39"/>
      <c r="CY39"/>
      <c r="CZ39"/>
    </row>
    <row r="40" spans="1:118">
      <c r="B40" s="135"/>
      <c r="C40" s="135"/>
      <c r="D40" s="135"/>
      <c r="E40" s="135"/>
      <c r="F40" s="135"/>
      <c r="G40" s="135">
        <f>SUM(G38:G39)</f>
        <v>81140</v>
      </c>
      <c r="P40" s="1">
        <f>50+80+50+400+250</f>
        <v>830</v>
      </c>
      <c r="AG40" s="1"/>
      <c r="AH40" s="1"/>
      <c r="AI40" s="1"/>
      <c r="AJ40" s="1"/>
      <c r="AR40" s="1"/>
      <c r="AS40" s="1"/>
      <c r="AT40" s="1"/>
      <c r="AV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I40" s="1">
        <f>17+154</f>
        <v>171</v>
      </c>
      <c r="CT40"/>
      <c r="CU40"/>
      <c r="CV40"/>
      <c r="CW40"/>
      <c r="CX40"/>
      <c r="CY40"/>
      <c r="CZ40"/>
    </row>
    <row r="41" spans="1:118">
      <c r="P41" s="1">
        <v>380</v>
      </c>
      <c r="AG41" s="1"/>
      <c r="AH41" s="1"/>
      <c r="AI41" s="1"/>
      <c r="AJ41" s="1"/>
      <c r="AR41" s="1"/>
      <c r="AS41" s="1"/>
      <c r="AT41" s="1"/>
      <c r="AV41" s="1"/>
      <c r="AY41" s="136">
        <f>AZ32+BE32</f>
        <v>800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I41" s="1">
        <f>975-CI40</f>
        <v>804</v>
      </c>
      <c r="CT41"/>
      <c r="CU41"/>
      <c r="CV41"/>
      <c r="CW41"/>
      <c r="CX41"/>
      <c r="CY41"/>
      <c r="CZ41"/>
    </row>
    <row r="42" spans="1:118">
      <c r="P42" s="1">
        <f>200+100+57+55+195</f>
        <v>607</v>
      </c>
      <c r="AG42" s="1"/>
      <c r="AH42" s="1"/>
      <c r="AI42" s="1"/>
      <c r="AJ42" s="1"/>
      <c r="AR42" s="1"/>
      <c r="AS42" s="1"/>
      <c r="AT42" s="1"/>
      <c r="AV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T42"/>
      <c r="CU42"/>
      <c r="CV42"/>
      <c r="CW42"/>
      <c r="CX42"/>
      <c r="CY42"/>
      <c r="CZ42"/>
    </row>
    <row r="43" spans="1:118">
      <c r="AG43" s="1"/>
      <c r="AH43" s="1"/>
      <c r="AI43" s="1"/>
      <c r="AJ43" s="1"/>
      <c r="AR43" s="1"/>
      <c r="AS43" s="1"/>
      <c r="AT43" s="1"/>
      <c r="AV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T43"/>
      <c r="CU43"/>
      <c r="CV43"/>
      <c r="CW43"/>
      <c r="CX43"/>
      <c r="CY43"/>
      <c r="CZ43"/>
    </row>
    <row r="44" spans="1:118">
      <c r="AG44" s="1"/>
      <c r="AH44" s="1"/>
      <c r="AI44" s="1"/>
      <c r="AJ44" s="1"/>
      <c r="AR44" s="1"/>
      <c r="AS44" s="1"/>
      <c r="AT44" s="1"/>
      <c r="AV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T44"/>
      <c r="CU44"/>
      <c r="CV44"/>
      <c r="CW44"/>
      <c r="CX44"/>
      <c r="CY44"/>
      <c r="CZ44"/>
    </row>
    <row r="45" spans="1:118">
      <c r="AG45" s="1"/>
      <c r="AH45" s="1"/>
      <c r="AI45" s="1"/>
      <c r="AJ45" s="1"/>
      <c r="AR45" s="1"/>
      <c r="AS45" s="1"/>
      <c r="AT45" s="1"/>
      <c r="AV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T45"/>
      <c r="CU45"/>
      <c r="CV45"/>
      <c r="CW45"/>
      <c r="CX45"/>
      <c r="CY45"/>
      <c r="CZ45"/>
    </row>
    <row r="46" spans="1:118">
      <c r="AG46" s="1"/>
      <c r="AH46" s="1"/>
      <c r="AI46" s="1"/>
      <c r="AJ46" s="1"/>
      <c r="AR46" s="1"/>
      <c r="AS46" s="1"/>
      <c r="AT46" s="1"/>
      <c r="AV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T46"/>
      <c r="CU46"/>
      <c r="CV46"/>
      <c r="CW46"/>
      <c r="CX46"/>
      <c r="CY46"/>
      <c r="CZ46"/>
    </row>
    <row r="47" spans="1:118">
      <c r="AG47" s="1"/>
      <c r="AH47" s="1"/>
      <c r="AI47" s="1"/>
      <c r="AJ47" s="1"/>
      <c r="AR47" s="1"/>
      <c r="AS47" s="1"/>
      <c r="AT47" s="1"/>
      <c r="AV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T47"/>
      <c r="CU47"/>
      <c r="CV47"/>
      <c r="CW47"/>
      <c r="CX47"/>
      <c r="CY47"/>
      <c r="CZ47"/>
    </row>
    <row r="48" spans="1:118">
      <c r="AG48" s="1"/>
      <c r="AH48" s="1"/>
      <c r="AI48" s="1"/>
      <c r="AJ48" s="1"/>
      <c r="AR48" s="1"/>
      <c r="AS48" s="1"/>
      <c r="AT48" s="1"/>
      <c r="AV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T48"/>
      <c r="CU48"/>
      <c r="CV48"/>
      <c r="CW48"/>
      <c r="CX48"/>
      <c r="CY48"/>
      <c r="CZ48"/>
    </row>
    <row r="49" spans="33:104">
      <c r="AG49" s="1"/>
      <c r="AH49" s="1"/>
      <c r="AI49" s="1"/>
      <c r="AJ49" s="1"/>
      <c r="AR49" s="1"/>
      <c r="AS49" s="1"/>
      <c r="AT49" s="1"/>
      <c r="AV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T49"/>
      <c r="CU49"/>
      <c r="CV49"/>
      <c r="CW49"/>
      <c r="CX49"/>
      <c r="CY49"/>
      <c r="CZ49"/>
    </row>
    <row r="50" spans="33:104">
      <c r="AG50" s="1"/>
      <c r="AH50" s="1"/>
      <c r="AI50" s="1"/>
      <c r="AJ50" s="1"/>
      <c r="AR50" s="1"/>
      <c r="AS50" s="1"/>
      <c r="AT50" s="1"/>
      <c r="AV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T50"/>
      <c r="CU50"/>
      <c r="CV50"/>
      <c r="CW50"/>
      <c r="CX50"/>
      <c r="CY50"/>
      <c r="CZ50"/>
    </row>
    <row r="51" spans="33:104">
      <c r="AG51" s="1"/>
      <c r="AH51" s="1"/>
      <c r="AI51" s="1"/>
      <c r="AJ51" s="1"/>
      <c r="AR51" s="1"/>
      <c r="AS51" s="1"/>
      <c r="AT51" s="1"/>
      <c r="AV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T51"/>
      <c r="CU51"/>
      <c r="CV51"/>
      <c r="CW51"/>
      <c r="CX51"/>
      <c r="CY51"/>
      <c r="CZ51"/>
    </row>
    <row r="52" spans="33:104">
      <c r="AG52" s="1"/>
      <c r="AH52" s="1"/>
      <c r="AI52" s="1"/>
      <c r="AJ52" s="1"/>
      <c r="AR52" s="1"/>
      <c r="AS52" s="1"/>
      <c r="AT52" s="1"/>
      <c r="AV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T52"/>
      <c r="CU52"/>
      <c r="CV52"/>
      <c r="CW52"/>
      <c r="CX52"/>
      <c r="CY52"/>
      <c r="CZ52"/>
    </row>
    <row r="53" spans="33:104">
      <c r="AG53" s="1"/>
      <c r="AH53" s="1"/>
      <c r="AI53" s="1"/>
      <c r="AJ53" s="1"/>
      <c r="AR53" s="1"/>
      <c r="AS53" s="1"/>
      <c r="AT53" s="1"/>
      <c r="AV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T53"/>
      <c r="CU53"/>
      <c r="CV53"/>
      <c r="CW53"/>
      <c r="CX53"/>
      <c r="CY53"/>
      <c r="CZ53"/>
    </row>
    <row r="54" spans="33:104">
      <c r="AG54" s="1"/>
      <c r="AH54" s="1"/>
      <c r="AI54" s="1"/>
      <c r="AJ54" s="1"/>
      <c r="AR54" s="1"/>
      <c r="AS54" s="1"/>
      <c r="AT54" s="1"/>
      <c r="AV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T54"/>
      <c r="CU54"/>
      <c r="CV54"/>
      <c r="CW54"/>
      <c r="CX54"/>
      <c r="CY54"/>
      <c r="CZ54"/>
    </row>
    <row r="55" spans="33:104">
      <c r="AG55" s="1"/>
      <c r="AH55" s="1"/>
      <c r="AI55" s="1"/>
      <c r="AJ55" s="1"/>
      <c r="AR55" s="1"/>
      <c r="AS55" s="1"/>
      <c r="AT55" s="1"/>
      <c r="AV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T55"/>
      <c r="CU55"/>
      <c r="CV55"/>
      <c r="CW55"/>
      <c r="CX55"/>
      <c r="CY55"/>
      <c r="CZ55"/>
    </row>
    <row r="56" spans="33:104">
      <c r="AG56" s="1"/>
      <c r="AH56" s="1"/>
      <c r="AI56" s="1"/>
      <c r="AJ56" s="1"/>
      <c r="AR56" s="1"/>
      <c r="AS56" s="1"/>
      <c r="AT56" s="1"/>
      <c r="AV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T56"/>
      <c r="CU56"/>
      <c r="CV56"/>
      <c r="CW56"/>
      <c r="CX56"/>
      <c r="CY56"/>
      <c r="CZ56"/>
    </row>
    <row r="57" spans="33:104">
      <c r="AG57" s="1"/>
      <c r="AH57" s="1"/>
      <c r="AI57" s="1"/>
      <c r="AJ57" s="1"/>
      <c r="AR57" s="1"/>
      <c r="AS57" s="1"/>
      <c r="AT57" s="1"/>
      <c r="AV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T57"/>
      <c r="CU57"/>
      <c r="CV57"/>
      <c r="CW57"/>
      <c r="CX57"/>
      <c r="CY57"/>
      <c r="CZ57"/>
    </row>
    <row r="58" spans="33:104">
      <c r="AG58" s="1"/>
      <c r="AH58" s="1"/>
      <c r="AI58" s="1"/>
      <c r="AJ58" s="1"/>
      <c r="AR58" s="1"/>
      <c r="AS58" s="1"/>
      <c r="AT58" s="1"/>
      <c r="AV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T58"/>
      <c r="CU58"/>
      <c r="CV58"/>
      <c r="CW58"/>
      <c r="CX58"/>
      <c r="CY58"/>
      <c r="CZ58"/>
    </row>
    <row r="59" spans="33:104">
      <c r="AG59" s="1"/>
      <c r="AH59" s="1"/>
      <c r="AI59" s="1"/>
      <c r="AJ59" s="1"/>
      <c r="AR59" s="1"/>
      <c r="AS59" s="1"/>
      <c r="AT59" s="1"/>
      <c r="AV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T59"/>
      <c r="CU59"/>
      <c r="CV59"/>
      <c r="CW59"/>
      <c r="CX59"/>
      <c r="CY59"/>
      <c r="CZ59"/>
    </row>
    <row r="60" spans="33:104">
      <c r="AG60" s="1"/>
      <c r="AH60" s="1"/>
      <c r="AI60" s="1"/>
      <c r="AJ60" s="1"/>
      <c r="AR60" s="1"/>
      <c r="AS60" s="1"/>
      <c r="AT60" s="1"/>
      <c r="AV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T60"/>
      <c r="CU60"/>
      <c r="CV60"/>
      <c r="CW60"/>
      <c r="CX60"/>
      <c r="CY60"/>
      <c r="CZ60"/>
    </row>
    <row r="61" spans="33:104">
      <c r="AG61" s="1"/>
      <c r="AH61" s="1"/>
      <c r="AI61" s="1"/>
      <c r="AJ61" s="1"/>
      <c r="AR61" s="1"/>
      <c r="AS61" s="1"/>
      <c r="AT61" s="1"/>
      <c r="AV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T61"/>
      <c r="CU61"/>
      <c r="CV61"/>
      <c r="CW61"/>
      <c r="CX61"/>
      <c r="CY61"/>
      <c r="CZ61"/>
    </row>
    <row r="62" spans="33:104">
      <c r="AG62" s="1"/>
      <c r="AH62" s="1"/>
      <c r="AI62" s="1"/>
      <c r="AJ62" s="1"/>
      <c r="AR62" s="1"/>
      <c r="AS62" s="1"/>
      <c r="AT62" s="1"/>
      <c r="AV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T62"/>
      <c r="CU62"/>
      <c r="CV62"/>
      <c r="CW62"/>
      <c r="CX62"/>
      <c r="CY62"/>
      <c r="CZ62"/>
    </row>
    <row r="63" spans="33:104">
      <c r="AG63" s="1"/>
      <c r="AH63" s="1"/>
      <c r="AI63" s="1"/>
      <c r="AJ63" s="1"/>
      <c r="AR63" s="1"/>
      <c r="AS63" s="1"/>
      <c r="AT63" s="1"/>
      <c r="AV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T63"/>
      <c r="CU63"/>
      <c r="CV63"/>
      <c r="CW63"/>
      <c r="CX63"/>
      <c r="CY63"/>
      <c r="CZ63"/>
    </row>
    <row r="64" spans="33:104">
      <c r="AG64" s="1"/>
      <c r="AH64" s="1"/>
      <c r="AI64" s="1"/>
      <c r="AJ64" s="1"/>
      <c r="AR64" s="1"/>
      <c r="AS64" s="1"/>
      <c r="AT64" s="1"/>
      <c r="AV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T64"/>
      <c r="CU64"/>
      <c r="CV64"/>
      <c r="CW64"/>
      <c r="CX64"/>
      <c r="CY64"/>
      <c r="CZ64"/>
    </row>
    <row r="65" spans="33:104">
      <c r="AG65" s="1"/>
      <c r="AH65" s="1"/>
      <c r="AI65" s="1"/>
      <c r="AJ65" s="1"/>
      <c r="AR65" s="1"/>
      <c r="AS65" s="1"/>
      <c r="AT65" s="1"/>
      <c r="AV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T65"/>
      <c r="CU65"/>
      <c r="CV65"/>
      <c r="CW65"/>
      <c r="CX65"/>
      <c r="CY65"/>
      <c r="CZ65"/>
    </row>
    <row r="66" spans="33:104">
      <c r="AG66" s="1"/>
      <c r="AH66" s="1"/>
      <c r="AI66" s="1"/>
      <c r="AJ66" s="1"/>
      <c r="AR66" s="1"/>
      <c r="AS66" s="1"/>
      <c r="AT66" s="1"/>
      <c r="AV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T66"/>
      <c r="CU66"/>
      <c r="CV66"/>
      <c r="CW66"/>
      <c r="CX66"/>
      <c r="CY66"/>
      <c r="CZ66"/>
    </row>
    <row r="67" spans="33:104">
      <c r="AG67" s="1"/>
      <c r="AH67" s="1"/>
      <c r="AI67" s="1"/>
      <c r="AJ67" s="1"/>
      <c r="AR67" s="1"/>
      <c r="AS67" s="1"/>
      <c r="AT67" s="1"/>
      <c r="AV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T67"/>
      <c r="CU67"/>
      <c r="CV67"/>
      <c r="CW67"/>
      <c r="CX67"/>
      <c r="CY67"/>
      <c r="CZ67"/>
    </row>
    <row r="68" spans="33:104">
      <c r="AG68" s="1"/>
      <c r="AH68" s="1"/>
      <c r="AI68" s="1"/>
      <c r="AJ68" s="1"/>
      <c r="AR68" s="1"/>
      <c r="AS68" s="1"/>
      <c r="AT68" s="1"/>
      <c r="AV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T68"/>
      <c r="CU68"/>
      <c r="CV68"/>
      <c r="CW68"/>
      <c r="CX68"/>
      <c r="CY68"/>
      <c r="CZ68"/>
    </row>
    <row r="69" spans="33:104">
      <c r="AG69" s="1"/>
      <c r="AH69" s="1"/>
      <c r="AI69" s="1"/>
      <c r="AJ69" s="1"/>
      <c r="AR69" s="1"/>
      <c r="AS69" s="1"/>
      <c r="AT69" s="1"/>
      <c r="AV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T69"/>
      <c r="CU69"/>
      <c r="CV69"/>
      <c r="CW69"/>
      <c r="CX69"/>
      <c r="CY69"/>
      <c r="CZ69"/>
    </row>
    <row r="70" spans="33:104">
      <c r="AG70" s="1"/>
      <c r="AH70" s="1"/>
      <c r="AI70" s="1"/>
      <c r="AJ70" s="1"/>
      <c r="AR70" s="1"/>
      <c r="AS70" s="1"/>
      <c r="AT70" s="1"/>
      <c r="AV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T70"/>
      <c r="CU70"/>
      <c r="CV70"/>
      <c r="CW70"/>
      <c r="CX70"/>
      <c r="CY70"/>
      <c r="CZ70"/>
    </row>
    <row r="71" spans="33:104">
      <c r="AG71" s="1"/>
      <c r="AH71" s="1"/>
      <c r="AI71" s="1"/>
      <c r="AJ71" s="1"/>
      <c r="AR71" s="1"/>
      <c r="AS71" s="1"/>
      <c r="AT71" s="1"/>
      <c r="AV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T71"/>
      <c r="CU71"/>
      <c r="CV71"/>
      <c r="CW71"/>
      <c r="CX71"/>
      <c r="CY71"/>
      <c r="CZ71"/>
    </row>
    <row r="72" spans="33:104">
      <c r="AG72" s="1"/>
      <c r="AH72" s="1"/>
      <c r="AI72" s="1"/>
      <c r="AJ72" s="1"/>
      <c r="AR72" s="1"/>
      <c r="AS72" s="1"/>
      <c r="AT72" s="1"/>
      <c r="AV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T72"/>
      <c r="CU72"/>
      <c r="CV72"/>
      <c r="CW72"/>
      <c r="CX72"/>
      <c r="CY72"/>
      <c r="CZ72"/>
    </row>
    <row r="73" spans="33:104">
      <c r="AG73" s="1"/>
      <c r="AH73" s="1"/>
      <c r="AI73" s="1"/>
      <c r="AJ73" s="1"/>
      <c r="AR73" s="1"/>
      <c r="AS73" s="1"/>
      <c r="AT73" s="1"/>
      <c r="AV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T73"/>
      <c r="CU73"/>
      <c r="CV73"/>
      <c r="CW73"/>
      <c r="CX73"/>
      <c r="CY73"/>
      <c r="CZ73"/>
    </row>
    <row r="74" spans="33:104">
      <c r="AG74" s="1"/>
      <c r="AH74" s="1"/>
      <c r="AI74" s="1"/>
      <c r="AJ74" s="1"/>
      <c r="AR74" s="1"/>
      <c r="AS74" s="1"/>
      <c r="AT74" s="1"/>
      <c r="AV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T74"/>
      <c r="CU74"/>
      <c r="CV74"/>
      <c r="CW74"/>
      <c r="CX74"/>
      <c r="CY74"/>
      <c r="CZ74"/>
    </row>
    <row r="75" spans="33:104">
      <c r="AG75" s="1"/>
      <c r="AH75" s="1"/>
      <c r="AI75" s="1"/>
      <c r="AJ75" s="1"/>
      <c r="AR75" s="1"/>
      <c r="AS75" s="1"/>
      <c r="AT75" s="1"/>
      <c r="AV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T75"/>
      <c r="CU75"/>
      <c r="CV75"/>
      <c r="CW75"/>
      <c r="CX75"/>
      <c r="CY75"/>
      <c r="CZ75"/>
    </row>
    <row r="76" spans="33:104">
      <c r="AG76" s="1"/>
      <c r="AH76" s="1"/>
      <c r="AI76" s="1"/>
      <c r="AJ76" s="1"/>
      <c r="AR76" s="1"/>
      <c r="AS76" s="1"/>
      <c r="AT76" s="1"/>
      <c r="AV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T76"/>
      <c r="CU76"/>
      <c r="CV76"/>
      <c r="CW76"/>
      <c r="CX76"/>
      <c r="CY76"/>
      <c r="CZ76"/>
    </row>
    <row r="77" spans="33:104">
      <c r="AG77" s="1"/>
      <c r="AH77" s="1"/>
      <c r="AI77" s="1"/>
      <c r="AJ77" s="1"/>
      <c r="AR77" s="1"/>
      <c r="AS77" s="1"/>
      <c r="AT77" s="1"/>
      <c r="AV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T77"/>
      <c r="CU77"/>
      <c r="CV77"/>
      <c r="CW77"/>
      <c r="CX77"/>
      <c r="CY77"/>
      <c r="CZ77"/>
    </row>
    <row r="78" spans="33:104">
      <c r="AG78" s="1"/>
      <c r="AH78" s="1"/>
      <c r="AI78" s="1"/>
      <c r="AJ78" s="1"/>
      <c r="AR78" s="1"/>
      <c r="AS78" s="1"/>
      <c r="AT78" s="1"/>
      <c r="AV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T78"/>
      <c r="CU78"/>
      <c r="CV78"/>
      <c r="CW78"/>
      <c r="CX78"/>
      <c r="CY78"/>
      <c r="CZ78"/>
    </row>
    <row r="79" spans="33:104">
      <c r="AG79" s="1"/>
      <c r="AH79" s="1"/>
      <c r="AI79" s="1"/>
      <c r="AJ79" s="1"/>
      <c r="AR79" s="1"/>
      <c r="AS79" s="1"/>
      <c r="AT79" s="1"/>
      <c r="AV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T79"/>
      <c r="CU79"/>
      <c r="CV79"/>
      <c r="CW79"/>
      <c r="CX79"/>
      <c r="CY79"/>
      <c r="CZ79"/>
    </row>
    <row r="80" spans="33:104">
      <c r="AG80" s="1"/>
      <c r="AH80" s="1"/>
      <c r="AI80" s="1"/>
      <c r="AJ80" s="1"/>
      <c r="AR80" s="1"/>
      <c r="AS80" s="1"/>
      <c r="AT80" s="1"/>
      <c r="AV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T80"/>
      <c r="CU80"/>
      <c r="CV80"/>
      <c r="CW80"/>
      <c r="CX80"/>
      <c r="CY80"/>
      <c r="CZ80"/>
    </row>
    <row r="81" spans="33:104">
      <c r="AG81" s="1"/>
      <c r="AH81" s="1"/>
      <c r="AI81" s="1"/>
      <c r="AJ81" s="1"/>
      <c r="AR81" s="1"/>
      <c r="AS81" s="1"/>
      <c r="AT81" s="1"/>
      <c r="AV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T81"/>
      <c r="CU81"/>
      <c r="CV81"/>
      <c r="CW81"/>
      <c r="CX81"/>
      <c r="CY81"/>
      <c r="CZ81"/>
    </row>
    <row r="82" spans="33:104">
      <c r="AG82" s="1"/>
      <c r="AH82" s="1"/>
      <c r="AI82" s="1"/>
      <c r="AJ82" s="1"/>
      <c r="AR82" s="1"/>
      <c r="AS82" s="1"/>
      <c r="AT82" s="1"/>
      <c r="AV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T82"/>
      <c r="CU82"/>
      <c r="CV82"/>
      <c r="CW82"/>
      <c r="CX82"/>
      <c r="CY82"/>
      <c r="CZ82"/>
    </row>
    <row r="83" spans="33:104">
      <c r="AG83" s="1"/>
      <c r="AH83" s="1"/>
      <c r="AI83" s="1"/>
      <c r="AJ83" s="1"/>
      <c r="AR83" s="1"/>
      <c r="AS83" s="1"/>
      <c r="AT83" s="1"/>
      <c r="AV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T83"/>
      <c r="CU83"/>
      <c r="CV83"/>
      <c r="CW83"/>
      <c r="CX83"/>
      <c r="CY83"/>
      <c r="CZ83"/>
    </row>
    <row r="84" spans="33:104">
      <c r="AG84" s="1"/>
      <c r="AH84" s="1"/>
      <c r="AI84" s="1"/>
      <c r="AJ84" s="1"/>
      <c r="AR84" s="1"/>
      <c r="AS84" s="1"/>
      <c r="AT84" s="1"/>
      <c r="AV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T84"/>
      <c r="CU84"/>
      <c r="CV84"/>
      <c r="CW84"/>
      <c r="CX84"/>
      <c r="CY84"/>
      <c r="CZ84"/>
    </row>
    <row r="85" spans="33:104">
      <c r="AG85" s="1"/>
      <c r="AH85" s="1"/>
      <c r="AI85" s="1"/>
      <c r="AJ85" s="1"/>
      <c r="AR85" s="1"/>
      <c r="AS85" s="1"/>
      <c r="AT85" s="1"/>
      <c r="AV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T85"/>
      <c r="CU85"/>
      <c r="CV85"/>
      <c r="CW85"/>
      <c r="CX85"/>
      <c r="CY85"/>
      <c r="CZ85"/>
    </row>
    <row r="86" spans="33:104">
      <c r="AG86" s="1"/>
      <c r="AH86" s="1"/>
      <c r="AI86" s="1"/>
      <c r="AJ86" s="1"/>
      <c r="AR86" s="1"/>
      <c r="AS86" s="1"/>
      <c r="AT86" s="1"/>
      <c r="AV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T86"/>
      <c r="CU86"/>
      <c r="CV86"/>
      <c r="CW86"/>
      <c r="CX86"/>
      <c r="CY86"/>
      <c r="CZ86"/>
    </row>
    <row r="87" spans="33:104">
      <c r="AG87" s="1"/>
      <c r="AH87" s="1"/>
      <c r="AI87" s="1"/>
      <c r="AJ87" s="1"/>
      <c r="AR87" s="1"/>
      <c r="AS87" s="1"/>
      <c r="AT87" s="1"/>
      <c r="AV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T87"/>
      <c r="CU87"/>
      <c r="CV87"/>
      <c r="CW87"/>
      <c r="CX87"/>
      <c r="CY87"/>
      <c r="CZ87"/>
    </row>
    <row r="88" spans="33:104">
      <c r="AG88" s="1"/>
      <c r="AH88" s="1"/>
      <c r="AI88" s="1"/>
      <c r="AJ88" s="1"/>
      <c r="AR88" s="1"/>
      <c r="AS88" s="1"/>
      <c r="AT88" s="1"/>
      <c r="AV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T88"/>
      <c r="CU88"/>
      <c r="CV88"/>
      <c r="CW88"/>
      <c r="CX88"/>
      <c r="CY88"/>
      <c r="CZ88"/>
    </row>
    <row r="89" spans="33:104">
      <c r="AG89" s="1"/>
      <c r="AH89" s="1"/>
      <c r="AI89" s="1"/>
      <c r="AJ89" s="1"/>
      <c r="AR89" s="1"/>
      <c r="AS89" s="1"/>
      <c r="AT89" s="1"/>
      <c r="AV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T89"/>
      <c r="CU89"/>
      <c r="CV89"/>
      <c r="CW89"/>
      <c r="CX89"/>
      <c r="CY89"/>
      <c r="CZ89"/>
    </row>
    <row r="90" spans="33:104">
      <c r="AG90" s="1"/>
      <c r="AH90" s="1"/>
      <c r="AI90" s="1"/>
      <c r="AJ90" s="1"/>
      <c r="AR90" s="1"/>
      <c r="AS90" s="1"/>
      <c r="AT90" s="1"/>
      <c r="AV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T90"/>
      <c r="CU90"/>
      <c r="CV90"/>
      <c r="CW90"/>
      <c r="CX90"/>
      <c r="CY90"/>
      <c r="CZ90"/>
    </row>
    <row r="91" spans="33:104">
      <c r="AG91" s="1"/>
      <c r="AH91" s="1"/>
      <c r="AI91" s="1"/>
      <c r="AJ91" s="1"/>
      <c r="AR91" s="1"/>
      <c r="AS91" s="1"/>
      <c r="AT91" s="1"/>
      <c r="AV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T91"/>
      <c r="CU91"/>
      <c r="CV91"/>
      <c r="CW91"/>
      <c r="CX91"/>
      <c r="CY91"/>
      <c r="CZ91"/>
    </row>
    <row r="92" spans="33:104">
      <c r="AG92" s="1"/>
      <c r="AH92" s="1"/>
      <c r="AI92" s="1"/>
      <c r="AJ92" s="1"/>
      <c r="AR92" s="1"/>
      <c r="AS92" s="1"/>
      <c r="AT92" s="1"/>
      <c r="AV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T92"/>
      <c r="CU92"/>
      <c r="CV92"/>
      <c r="CW92"/>
      <c r="CX92"/>
      <c r="CY92"/>
      <c r="CZ92"/>
    </row>
    <row r="93" spans="33:104">
      <c r="AG93" s="1"/>
      <c r="AH93" s="1"/>
      <c r="AI93" s="1"/>
      <c r="AJ93" s="1"/>
      <c r="AR93" s="1"/>
      <c r="AS93" s="1"/>
      <c r="AT93" s="1"/>
      <c r="AV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T93"/>
      <c r="CU93"/>
      <c r="CV93"/>
      <c r="CW93"/>
      <c r="CX93"/>
      <c r="CY93"/>
      <c r="CZ93"/>
    </row>
    <row r="94" spans="33:104">
      <c r="AG94" s="1"/>
      <c r="AH94" s="1"/>
      <c r="AI94" s="1"/>
      <c r="AJ94" s="1"/>
      <c r="AR94" s="1"/>
      <c r="AS94" s="1"/>
      <c r="AT94" s="1"/>
      <c r="AV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T94"/>
      <c r="CU94"/>
      <c r="CV94"/>
      <c r="CW94"/>
      <c r="CX94"/>
      <c r="CY94"/>
      <c r="CZ94"/>
    </row>
    <row r="95" spans="33:104">
      <c r="AG95" s="1"/>
      <c r="AH95" s="1"/>
      <c r="AI95" s="1"/>
      <c r="AJ95" s="1"/>
      <c r="AR95" s="1"/>
      <c r="AS95" s="1"/>
      <c r="AT95" s="1"/>
      <c r="AV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T95"/>
      <c r="CU95"/>
      <c r="CV95"/>
      <c r="CW95"/>
      <c r="CX95"/>
      <c r="CY95"/>
      <c r="CZ95"/>
    </row>
    <row r="96" spans="33:104">
      <c r="AG96" s="1"/>
      <c r="AH96" s="1"/>
      <c r="AI96" s="1"/>
      <c r="AJ96" s="1"/>
      <c r="AR96" s="1"/>
      <c r="AS96" s="1"/>
      <c r="AT96" s="1"/>
      <c r="AV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T96"/>
      <c r="CU96"/>
      <c r="CV96"/>
      <c r="CW96"/>
      <c r="CX96"/>
      <c r="CY96"/>
      <c r="CZ96"/>
    </row>
    <row r="97" spans="33:104">
      <c r="AG97" s="1"/>
      <c r="AH97" s="1"/>
      <c r="AI97" s="1"/>
      <c r="AJ97" s="1"/>
      <c r="AR97" s="1"/>
      <c r="AS97" s="1"/>
      <c r="AT97" s="1"/>
      <c r="AV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T97"/>
      <c r="CU97"/>
      <c r="CV97"/>
      <c r="CW97"/>
      <c r="CX97"/>
      <c r="CY97"/>
      <c r="CZ97"/>
    </row>
    <row r="98" spans="33:104">
      <c r="AG98" s="1"/>
      <c r="AH98" s="1"/>
      <c r="AI98" s="1"/>
      <c r="AJ98" s="1"/>
      <c r="AR98" s="1"/>
      <c r="AS98" s="1"/>
      <c r="AT98" s="1"/>
      <c r="AV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T98"/>
      <c r="CU98"/>
      <c r="CV98"/>
      <c r="CW98"/>
      <c r="CX98"/>
      <c r="CY98"/>
      <c r="CZ98"/>
    </row>
    <row r="99" spans="33:104">
      <c r="AG99" s="1"/>
      <c r="AH99" s="1"/>
      <c r="AI99" s="1"/>
      <c r="AJ99" s="1"/>
      <c r="AR99" s="1"/>
      <c r="AS99" s="1"/>
      <c r="AT99" s="1"/>
      <c r="AV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T99"/>
      <c r="CU99"/>
      <c r="CV99"/>
      <c r="CW99"/>
      <c r="CX99"/>
      <c r="CY99"/>
      <c r="CZ99"/>
    </row>
    <row r="100" spans="33:104">
      <c r="AG100" s="1"/>
      <c r="AH100" s="1"/>
      <c r="AI100" s="1"/>
      <c r="AJ100" s="1"/>
      <c r="AR100" s="1"/>
      <c r="AS100" s="1"/>
      <c r="AT100" s="1"/>
      <c r="AV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T100"/>
      <c r="CU100"/>
      <c r="CV100"/>
      <c r="CW100"/>
      <c r="CX100"/>
      <c r="CY100"/>
      <c r="CZ100"/>
    </row>
    <row r="101" spans="33:104">
      <c r="AG101" s="1"/>
      <c r="AH101" s="1"/>
      <c r="AI101" s="1"/>
      <c r="AJ101" s="1"/>
      <c r="AR101" s="1"/>
      <c r="AS101" s="1"/>
      <c r="AT101" s="1"/>
      <c r="AV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T101"/>
      <c r="CU101"/>
      <c r="CV101"/>
      <c r="CW101"/>
      <c r="CX101"/>
      <c r="CY101"/>
      <c r="CZ101"/>
    </row>
    <row r="102" spans="33:104">
      <c r="AG102" s="1"/>
      <c r="AH102" s="1"/>
      <c r="AI102" s="1"/>
      <c r="AJ102" s="1"/>
      <c r="AR102" s="1"/>
      <c r="AS102" s="1"/>
      <c r="AT102" s="1"/>
      <c r="AV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T102"/>
      <c r="CU102"/>
      <c r="CV102"/>
      <c r="CW102"/>
      <c r="CX102"/>
      <c r="CY102"/>
      <c r="CZ102"/>
    </row>
    <row r="103" spans="33:104">
      <c r="AG103" s="1"/>
      <c r="AH103" s="1"/>
      <c r="AI103" s="1"/>
      <c r="AJ103" s="1"/>
      <c r="AR103" s="1"/>
      <c r="AS103" s="1"/>
      <c r="AT103" s="1"/>
      <c r="AV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T103"/>
      <c r="CU103"/>
      <c r="CV103"/>
      <c r="CW103"/>
      <c r="CX103"/>
      <c r="CY103"/>
      <c r="CZ103"/>
    </row>
    <row r="104" spans="33:104">
      <c r="AG104" s="1"/>
      <c r="AH104" s="1"/>
      <c r="AI104" s="1"/>
      <c r="AJ104" s="1"/>
      <c r="AR104" s="1"/>
      <c r="AS104" s="1"/>
      <c r="AT104" s="1"/>
      <c r="AV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T104"/>
      <c r="CU104"/>
      <c r="CV104"/>
      <c r="CW104"/>
      <c r="CX104"/>
      <c r="CY104"/>
      <c r="CZ104"/>
    </row>
    <row r="105" spans="33:104">
      <c r="AG105" s="1"/>
      <c r="AH105" s="1"/>
      <c r="AI105" s="1"/>
      <c r="AJ105" s="1"/>
      <c r="AR105" s="1"/>
      <c r="AS105" s="1"/>
      <c r="AT105" s="1"/>
      <c r="AV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T105"/>
      <c r="CU105"/>
      <c r="CV105"/>
      <c r="CW105"/>
      <c r="CX105"/>
      <c r="CY105"/>
      <c r="CZ105"/>
    </row>
    <row r="106" spans="33:104">
      <c r="AG106" s="1"/>
      <c r="AH106" s="1"/>
      <c r="AI106" s="1"/>
      <c r="AJ106" s="1"/>
      <c r="AR106" s="1"/>
      <c r="AS106" s="1"/>
      <c r="AT106" s="1"/>
      <c r="AV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T106"/>
      <c r="CU106"/>
      <c r="CV106"/>
      <c r="CW106"/>
      <c r="CX106"/>
      <c r="CY106"/>
      <c r="CZ106"/>
    </row>
    <row r="107" spans="33:104">
      <c r="AG107" s="1"/>
      <c r="AH107" s="1"/>
      <c r="AI107" s="1"/>
      <c r="AJ107" s="1"/>
      <c r="AR107" s="1"/>
      <c r="AS107" s="1"/>
      <c r="AT107" s="1"/>
      <c r="AV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T107"/>
      <c r="CU107"/>
      <c r="CV107"/>
      <c r="CW107"/>
      <c r="CX107"/>
      <c r="CY107"/>
      <c r="CZ107"/>
    </row>
    <row r="108" spans="33:104">
      <c r="AG108" s="1"/>
      <c r="AH108" s="1"/>
      <c r="AI108" s="1"/>
      <c r="AJ108" s="1"/>
      <c r="AR108" s="1"/>
      <c r="AS108" s="1"/>
      <c r="AT108" s="1"/>
      <c r="AV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T108"/>
      <c r="CU108"/>
      <c r="CV108"/>
      <c r="CW108"/>
      <c r="CX108"/>
      <c r="CY108"/>
      <c r="CZ108"/>
    </row>
    <row r="109" spans="33:104">
      <c r="AG109" s="1"/>
      <c r="AH109" s="1"/>
      <c r="AI109" s="1"/>
      <c r="AJ109" s="1"/>
      <c r="AR109" s="1"/>
      <c r="AS109" s="1"/>
      <c r="AT109" s="1"/>
      <c r="AV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T109"/>
      <c r="CU109"/>
      <c r="CV109"/>
      <c r="CW109"/>
      <c r="CX109"/>
      <c r="CY109"/>
      <c r="CZ109"/>
    </row>
    <row r="110" spans="33:104">
      <c r="AG110" s="1"/>
      <c r="AH110" s="1"/>
      <c r="AI110" s="1"/>
      <c r="AJ110" s="1"/>
      <c r="AR110" s="1"/>
      <c r="AS110" s="1"/>
      <c r="AT110" s="1"/>
      <c r="AV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T110"/>
      <c r="CU110"/>
      <c r="CV110"/>
      <c r="CW110"/>
      <c r="CX110"/>
      <c r="CY110"/>
      <c r="CZ110"/>
    </row>
    <row r="111" spans="33:104">
      <c r="AG111" s="1"/>
      <c r="AH111" s="1"/>
      <c r="AI111" s="1"/>
      <c r="AJ111" s="1"/>
      <c r="AR111" s="1"/>
      <c r="AS111" s="1"/>
      <c r="AT111" s="1"/>
      <c r="AV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T111"/>
      <c r="CU111"/>
      <c r="CV111"/>
      <c r="CW111"/>
      <c r="CX111"/>
      <c r="CY111"/>
      <c r="CZ111"/>
    </row>
    <row r="112" spans="33:104">
      <c r="AG112" s="1"/>
      <c r="AH112" s="1"/>
      <c r="AI112" s="1"/>
      <c r="AJ112" s="1"/>
      <c r="AR112" s="1"/>
      <c r="AS112" s="1"/>
      <c r="AT112" s="1"/>
      <c r="AV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T112"/>
      <c r="CU112"/>
      <c r="CV112"/>
      <c r="CW112"/>
      <c r="CX112"/>
      <c r="CY112"/>
      <c r="CZ112"/>
    </row>
    <row r="113" spans="33:104">
      <c r="AG113" s="1"/>
      <c r="AH113" s="1"/>
      <c r="AI113" s="1"/>
      <c r="AJ113" s="1"/>
      <c r="AR113" s="1"/>
      <c r="AS113" s="1"/>
      <c r="AT113" s="1"/>
      <c r="AV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T113"/>
      <c r="CU113"/>
      <c r="CV113"/>
      <c r="CW113"/>
      <c r="CX113"/>
      <c r="CY113"/>
      <c r="CZ113"/>
    </row>
    <row r="114" spans="33:104">
      <c r="AG114" s="1"/>
      <c r="AH114" s="1"/>
      <c r="AI114" s="1"/>
      <c r="AJ114" s="1"/>
      <c r="AR114" s="1"/>
      <c r="AS114" s="1"/>
      <c r="AT114" s="1"/>
      <c r="AV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T114"/>
      <c r="CU114"/>
      <c r="CV114"/>
      <c r="CW114"/>
      <c r="CX114"/>
      <c r="CY114"/>
      <c r="CZ114"/>
    </row>
    <row r="115" spans="33:104">
      <c r="AG115" s="1"/>
      <c r="AH115" s="1"/>
      <c r="AI115" s="1"/>
      <c r="AJ115" s="1"/>
      <c r="AR115" s="1"/>
      <c r="AS115" s="1"/>
      <c r="AT115" s="1"/>
      <c r="AV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T115"/>
      <c r="CU115"/>
      <c r="CV115"/>
      <c r="CW115"/>
      <c r="CX115"/>
      <c r="CY115"/>
      <c r="CZ115"/>
    </row>
    <row r="116" spans="33:104">
      <c r="AG116" s="1"/>
      <c r="AH116" s="1"/>
      <c r="AI116" s="1"/>
      <c r="AJ116" s="1"/>
      <c r="AR116" s="1"/>
      <c r="AS116" s="1"/>
      <c r="AT116" s="1"/>
      <c r="AV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T116"/>
      <c r="CU116"/>
      <c r="CV116"/>
      <c r="CW116"/>
      <c r="CX116"/>
      <c r="CY116"/>
      <c r="CZ116"/>
    </row>
    <row r="117" spans="33:104">
      <c r="AG117" s="1"/>
      <c r="AH117" s="1"/>
      <c r="AI117" s="1"/>
      <c r="AJ117" s="1"/>
      <c r="AR117" s="1"/>
      <c r="AS117" s="1"/>
      <c r="AT117" s="1"/>
      <c r="AV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T117"/>
      <c r="CU117"/>
      <c r="CV117"/>
      <c r="CW117"/>
      <c r="CX117"/>
      <c r="CY117"/>
      <c r="CZ117"/>
    </row>
    <row r="118" spans="33:104">
      <c r="AG118" s="1"/>
      <c r="AH118" s="1"/>
      <c r="AI118" s="1"/>
      <c r="AJ118" s="1"/>
      <c r="AR118" s="1"/>
      <c r="AS118" s="1"/>
      <c r="AT118" s="1"/>
      <c r="AV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T118"/>
      <c r="CU118"/>
      <c r="CV118"/>
      <c r="CW118"/>
      <c r="CX118"/>
      <c r="CY118"/>
      <c r="CZ118"/>
    </row>
    <row r="119" spans="33:104">
      <c r="AG119" s="1"/>
      <c r="AH119" s="1"/>
      <c r="AI119" s="1"/>
      <c r="AJ119" s="1"/>
      <c r="AR119" s="1"/>
      <c r="AS119" s="1"/>
      <c r="AT119" s="1"/>
      <c r="AV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T119"/>
      <c r="CU119"/>
      <c r="CV119"/>
      <c r="CW119"/>
      <c r="CX119"/>
      <c r="CY119"/>
      <c r="CZ119"/>
    </row>
    <row r="120" spans="33:104">
      <c r="AG120" s="1"/>
      <c r="AH120" s="1"/>
      <c r="AI120" s="1"/>
      <c r="AJ120" s="1"/>
      <c r="AR120" s="1"/>
      <c r="AS120" s="1"/>
      <c r="AT120" s="1"/>
      <c r="AV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T120"/>
      <c r="CU120"/>
      <c r="CV120"/>
      <c r="CW120"/>
      <c r="CX120"/>
      <c r="CY120"/>
      <c r="CZ120"/>
    </row>
    <row r="121" spans="33:104">
      <c r="AG121" s="1"/>
      <c r="AH121" s="1"/>
      <c r="AI121" s="1"/>
      <c r="AJ121" s="1"/>
      <c r="AR121" s="1"/>
      <c r="AS121" s="1"/>
      <c r="AT121" s="1"/>
      <c r="AV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T121"/>
      <c r="CU121"/>
      <c r="CV121"/>
      <c r="CW121"/>
      <c r="CX121"/>
      <c r="CY121"/>
      <c r="CZ121"/>
    </row>
    <row r="122" spans="33:104">
      <c r="AG122" s="1"/>
      <c r="AH122" s="1"/>
      <c r="AI122" s="1"/>
      <c r="AJ122" s="1"/>
      <c r="AR122" s="1"/>
      <c r="AS122" s="1"/>
      <c r="AT122" s="1"/>
      <c r="AV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T122"/>
      <c r="CU122"/>
      <c r="CV122"/>
      <c r="CW122"/>
      <c r="CX122"/>
      <c r="CY122"/>
      <c r="CZ122"/>
    </row>
    <row r="123" spans="33:104">
      <c r="AG123" s="1"/>
      <c r="AH123" s="1"/>
      <c r="AI123" s="1"/>
      <c r="AJ123" s="1"/>
      <c r="AR123" s="1"/>
      <c r="AS123" s="1"/>
      <c r="AT123" s="1"/>
      <c r="AV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T123"/>
      <c r="CU123"/>
      <c r="CV123"/>
      <c r="CW123"/>
      <c r="CX123"/>
      <c r="CY123"/>
      <c r="CZ123"/>
    </row>
    <row r="124" spans="33:104">
      <c r="AG124" s="1"/>
      <c r="AH124" s="1"/>
      <c r="AI124" s="1"/>
      <c r="AJ124" s="1"/>
      <c r="AR124" s="1"/>
      <c r="AS124" s="1"/>
      <c r="AT124" s="1"/>
      <c r="AV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T124"/>
      <c r="CU124"/>
      <c r="CV124"/>
      <c r="CW124"/>
      <c r="CX124"/>
      <c r="CY124"/>
      <c r="CZ124"/>
    </row>
    <row r="125" spans="33:104">
      <c r="AG125" s="1"/>
      <c r="AH125" s="1"/>
      <c r="AI125" s="1"/>
      <c r="AJ125" s="1"/>
      <c r="AR125" s="1"/>
      <c r="AS125" s="1"/>
      <c r="AT125" s="1"/>
      <c r="AV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T125"/>
      <c r="CU125"/>
      <c r="CV125"/>
      <c r="CW125"/>
      <c r="CX125"/>
      <c r="CY125"/>
      <c r="CZ125"/>
    </row>
    <row r="126" spans="33:104">
      <c r="AG126" s="1"/>
      <c r="AH126" s="1"/>
      <c r="AI126" s="1"/>
      <c r="AJ126" s="1"/>
      <c r="AR126" s="1"/>
      <c r="AS126" s="1"/>
      <c r="AT126" s="1"/>
      <c r="AV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T126"/>
      <c r="CU126"/>
      <c r="CV126"/>
      <c r="CW126"/>
      <c r="CX126"/>
      <c r="CY126"/>
      <c r="CZ126"/>
    </row>
    <row r="127" spans="33:104">
      <c r="AG127" s="1"/>
      <c r="AH127" s="1"/>
      <c r="AI127" s="1"/>
      <c r="AJ127" s="1"/>
      <c r="AR127" s="1"/>
      <c r="AS127" s="1"/>
      <c r="AT127" s="1"/>
      <c r="AV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T127"/>
      <c r="CU127"/>
      <c r="CV127"/>
      <c r="CW127"/>
      <c r="CX127"/>
      <c r="CY127"/>
      <c r="CZ127"/>
    </row>
    <row r="128" spans="33:104">
      <c r="AG128" s="1"/>
      <c r="AH128" s="1"/>
      <c r="AI128" s="1"/>
      <c r="AJ128" s="1"/>
      <c r="AR128" s="1"/>
      <c r="AS128" s="1"/>
      <c r="AT128" s="1"/>
      <c r="AV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T128"/>
      <c r="CU128"/>
      <c r="CV128"/>
      <c r="CW128"/>
      <c r="CX128"/>
      <c r="CY128"/>
      <c r="CZ128"/>
    </row>
    <row r="129" spans="33:104">
      <c r="AG129" s="1"/>
      <c r="AH129" s="1"/>
      <c r="AI129" s="1"/>
      <c r="AJ129" s="1"/>
      <c r="AR129" s="1"/>
      <c r="AS129" s="1"/>
      <c r="AT129" s="1"/>
      <c r="AV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T129"/>
      <c r="CU129"/>
      <c r="CV129"/>
      <c r="CW129"/>
      <c r="CX129"/>
      <c r="CY129"/>
      <c r="CZ129"/>
    </row>
    <row r="130" spans="33:104">
      <c r="AG130" s="1"/>
      <c r="AH130" s="1"/>
      <c r="AI130" s="1"/>
      <c r="AJ130" s="1"/>
      <c r="AR130" s="1"/>
      <c r="AS130" s="1"/>
      <c r="AT130" s="1"/>
      <c r="AV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T130"/>
      <c r="CU130"/>
      <c r="CV130"/>
      <c r="CW130"/>
      <c r="CX130"/>
      <c r="CY130"/>
      <c r="CZ130"/>
    </row>
    <row r="131" spans="33:104">
      <c r="AG131" s="1"/>
      <c r="AH131" s="1"/>
      <c r="AI131" s="1"/>
      <c r="AJ131" s="1"/>
      <c r="AR131" s="1"/>
      <c r="AS131" s="1"/>
      <c r="AT131" s="1"/>
      <c r="AV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T131"/>
      <c r="CU131"/>
      <c r="CV131"/>
      <c r="CW131"/>
      <c r="CX131"/>
      <c r="CY131"/>
      <c r="CZ131"/>
    </row>
    <row r="132" spans="33:104">
      <c r="AG132" s="1"/>
      <c r="AH132" s="1"/>
      <c r="AI132" s="1"/>
      <c r="AJ132" s="1"/>
      <c r="AR132" s="1"/>
      <c r="AS132" s="1"/>
      <c r="AT132" s="1"/>
      <c r="AV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T132"/>
      <c r="CU132"/>
      <c r="CV132"/>
      <c r="CW132"/>
      <c r="CX132"/>
      <c r="CY132"/>
      <c r="CZ132"/>
    </row>
    <row r="133" spans="33:104">
      <c r="AG133" s="1"/>
      <c r="AH133" s="1"/>
      <c r="AI133" s="1"/>
      <c r="AJ133" s="1"/>
      <c r="AR133" s="1"/>
      <c r="AS133" s="1"/>
      <c r="AT133" s="1"/>
      <c r="AV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T133"/>
      <c r="CU133"/>
      <c r="CV133"/>
      <c r="CW133"/>
      <c r="CX133"/>
      <c r="CY133"/>
      <c r="CZ133"/>
    </row>
    <row r="134" spans="33:104">
      <c r="AG134" s="1"/>
      <c r="AH134" s="1"/>
      <c r="AI134" s="1"/>
      <c r="AJ134" s="1"/>
      <c r="AR134" s="1"/>
      <c r="AS134" s="1"/>
      <c r="AT134" s="1"/>
      <c r="AV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T134"/>
      <c r="CU134"/>
      <c r="CV134"/>
      <c r="CW134"/>
      <c r="CX134"/>
      <c r="CY134"/>
      <c r="CZ134"/>
    </row>
    <row r="135" spans="33:104">
      <c r="AG135" s="1"/>
      <c r="AH135" s="1"/>
      <c r="AI135" s="1"/>
      <c r="AJ135" s="1"/>
      <c r="AR135" s="1"/>
      <c r="AS135" s="1"/>
      <c r="AT135" s="1"/>
      <c r="AV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T135"/>
      <c r="CU135"/>
      <c r="CV135"/>
      <c r="CW135"/>
      <c r="CX135"/>
      <c r="CY135"/>
      <c r="CZ135"/>
    </row>
    <row r="136" spans="33:104">
      <c r="AG136" s="1"/>
      <c r="AH136" s="1"/>
      <c r="AI136" s="1"/>
      <c r="AJ136" s="1"/>
      <c r="AR136" s="1"/>
      <c r="AS136" s="1"/>
      <c r="AT136" s="1"/>
      <c r="AV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T136"/>
      <c r="CU136"/>
      <c r="CV136"/>
      <c r="CW136"/>
      <c r="CX136"/>
      <c r="CY136"/>
      <c r="CZ136"/>
    </row>
    <row r="137" spans="33:104">
      <c r="AG137" s="1"/>
      <c r="AH137" s="1"/>
      <c r="AI137" s="1"/>
      <c r="AJ137" s="1"/>
      <c r="AR137" s="1"/>
      <c r="AS137" s="1"/>
      <c r="AT137" s="1"/>
      <c r="AV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T137"/>
      <c r="CU137"/>
      <c r="CV137"/>
      <c r="CW137"/>
      <c r="CX137"/>
      <c r="CY137"/>
      <c r="CZ137"/>
    </row>
    <row r="138" spans="33:104">
      <c r="AG138" s="1"/>
      <c r="AH138" s="1"/>
      <c r="AI138" s="1"/>
      <c r="AJ138" s="1"/>
      <c r="AR138" s="1"/>
      <c r="AS138" s="1"/>
      <c r="AT138" s="1"/>
      <c r="AV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T138"/>
      <c r="CU138"/>
      <c r="CV138"/>
      <c r="CW138"/>
      <c r="CX138"/>
      <c r="CY138"/>
      <c r="CZ138"/>
    </row>
    <row r="139" spans="33:104">
      <c r="AG139" s="1"/>
      <c r="AH139" s="1"/>
      <c r="AI139" s="1"/>
      <c r="AJ139" s="1"/>
      <c r="AR139" s="1"/>
      <c r="AS139" s="1"/>
      <c r="AT139" s="1"/>
      <c r="AV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T139"/>
      <c r="CU139"/>
      <c r="CV139"/>
      <c r="CW139"/>
      <c r="CX139"/>
      <c r="CY139"/>
      <c r="CZ139"/>
    </row>
    <row r="140" spans="33:104">
      <c r="AG140" s="1"/>
      <c r="AH140" s="1"/>
      <c r="AI140" s="1"/>
      <c r="AJ140" s="1"/>
      <c r="AR140" s="1"/>
      <c r="AS140" s="1"/>
      <c r="AT140" s="1"/>
      <c r="AV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T140"/>
      <c r="CU140"/>
      <c r="CV140"/>
      <c r="CW140"/>
      <c r="CX140"/>
      <c r="CY140"/>
      <c r="CZ140"/>
    </row>
    <row r="141" spans="33:104">
      <c r="AG141" s="1"/>
      <c r="AH141" s="1"/>
      <c r="AI141" s="1"/>
      <c r="AJ141" s="1"/>
      <c r="AR141" s="1"/>
      <c r="AS141" s="1"/>
      <c r="AT141" s="1"/>
      <c r="AV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T141"/>
      <c r="CU141"/>
      <c r="CV141"/>
      <c r="CW141"/>
      <c r="CX141"/>
      <c r="CY141"/>
      <c r="CZ141"/>
    </row>
    <row r="142" spans="33:104">
      <c r="AG142" s="1"/>
      <c r="AH142" s="1"/>
      <c r="AI142" s="1"/>
      <c r="AJ142" s="1"/>
      <c r="AR142" s="1"/>
      <c r="AS142" s="1"/>
      <c r="AT142" s="1"/>
      <c r="AV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T142"/>
      <c r="CU142"/>
      <c r="CV142"/>
      <c r="CW142"/>
      <c r="CX142"/>
      <c r="CY142"/>
      <c r="CZ142"/>
    </row>
    <row r="143" spans="33:104">
      <c r="AG143" s="1"/>
      <c r="AH143" s="1"/>
      <c r="AI143" s="1"/>
      <c r="AJ143" s="1"/>
      <c r="AR143" s="1"/>
      <c r="AS143" s="1"/>
      <c r="AT143" s="1"/>
      <c r="AV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T143"/>
      <c r="CU143"/>
      <c r="CV143"/>
      <c r="CW143"/>
      <c r="CX143"/>
      <c r="CY143"/>
      <c r="CZ143"/>
    </row>
    <row r="144" spans="33:104">
      <c r="AG144" s="1"/>
      <c r="AH144" s="1"/>
      <c r="AI144" s="1"/>
      <c r="AJ144" s="1"/>
      <c r="AR144" s="1"/>
      <c r="AS144" s="1"/>
      <c r="AT144" s="1"/>
      <c r="AV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T144"/>
      <c r="CU144"/>
      <c r="CV144"/>
      <c r="CW144"/>
      <c r="CX144"/>
      <c r="CY144"/>
      <c r="CZ144"/>
    </row>
    <row r="145" spans="33:104">
      <c r="AG145" s="1"/>
      <c r="AH145" s="1"/>
      <c r="AI145" s="1"/>
      <c r="AJ145" s="1"/>
      <c r="AR145" s="1"/>
      <c r="AS145" s="1"/>
      <c r="AT145" s="1"/>
      <c r="AV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T145"/>
      <c r="CU145"/>
      <c r="CV145"/>
      <c r="CW145"/>
      <c r="CX145"/>
      <c r="CY145"/>
      <c r="CZ145"/>
    </row>
    <row r="146" spans="33:104">
      <c r="AG146" s="1"/>
      <c r="AH146" s="1"/>
      <c r="AI146" s="1"/>
      <c r="AJ146" s="1"/>
      <c r="AR146" s="1"/>
      <c r="AS146" s="1"/>
      <c r="AT146" s="1"/>
      <c r="AV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T146"/>
      <c r="CU146"/>
      <c r="CV146"/>
      <c r="CW146"/>
      <c r="CX146"/>
      <c r="CY146"/>
      <c r="CZ146"/>
    </row>
    <row r="147" spans="33:104">
      <c r="AG147" s="1"/>
      <c r="AH147" s="1"/>
      <c r="AI147" s="1"/>
      <c r="AJ147" s="1"/>
      <c r="AR147" s="1"/>
      <c r="AS147" s="1"/>
      <c r="AT147" s="1"/>
      <c r="AV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T147"/>
      <c r="CU147"/>
      <c r="CV147"/>
      <c r="CW147"/>
      <c r="CX147"/>
      <c r="CY147"/>
      <c r="CZ147"/>
    </row>
    <row r="148" spans="33:104">
      <c r="AG148" s="1"/>
      <c r="AH148" s="1"/>
      <c r="AI148" s="1"/>
      <c r="AJ148" s="1"/>
      <c r="AR148" s="1"/>
      <c r="AS148" s="1"/>
      <c r="AT148" s="1"/>
      <c r="AV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T148"/>
      <c r="CU148"/>
      <c r="CV148"/>
      <c r="CW148"/>
      <c r="CX148"/>
      <c r="CY148"/>
      <c r="CZ148"/>
    </row>
    <row r="149" spans="33:104">
      <c r="AG149" s="1"/>
      <c r="AH149" s="1"/>
      <c r="AI149" s="1"/>
      <c r="AJ149" s="1"/>
      <c r="AR149" s="1"/>
      <c r="AS149" s="1"/>
      <c r="AT149" s="1"/>
      <c r="AV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T149"/>
      <c r="CU149"/>
      <c r="CV149"/>
      <c r="CW149"/>
      <c r="CX149"/>
      <c r="CY149"/>
      <c r="CZ149"/>
    </row>
    <row r="150" spans="33:104">
      <c r="AG150" s="1"/>
      <c r="AH150" s="1"/>
      <c r="AI150" s="1"/>
      <c r="AJ150" s="1"/>
      <c r="AR150" s="1"/>
      <c r="AS150" s="1"/>
      <c r="AT150" s="1"/>
      <c r="AV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T150"/>
      <c r="CU150"/>
      <c r="CV150"/>
      <c r="CW150"/>
      <c r="CX150"/>
      <c r="CY150"/>
      <c r="CZ150"/>
    </row>
    <row r="151" spans="33:104">
      <c r="AG151" s="1"/>
      <c r="AH151" s="1"/>
      <c r="AI151" s="1"/>
      <c r="AJ151" s="1"/>
      <c r="AR151" s="1"/>
      <c r="AS151" s="1"/>
      <c r="AT151" s="1"/>
      <c r="AV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T151"/>
      <c r="CU151"/>
      <c r="CV151"/>
      <c r="CW151"/>
      <c r="CX151"/>
      <c r="CY151"/>
      <c r="CZ151"/>
    </row>
    <row r="152" spans="33:104">
      <c r="AG152" s="1"/>
      <c r="AH152" s="1"/>
      <c r="AI152" s="1"/>
      <c r="AJ152" s="1"/>
      <c r="AR152" s="1"/>
      <c r="AS152" s="1"/>
      <c r="AT152" s="1"/>
      <c r="AV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T152"/>
      <c r="CU152"/>
      <c r="CV152"/>
      <c r="CW152"/>
      <c r="CX152"/>
      <c r="CY152"/>
      <c r="CZ152"/>
    </row>
    <row r="153" spans="33:104">
      <c r="AG153" s="1"/>
      <c r="AH153" s="1"/>
      <c r="AI153" s="1"/>
      <c r="AJ153" s="1"/>
      <c r="AR153" s="1"/>
      <c r="AS153" s="1"/>
      <c r="AT153" s="1"/>
      <c r="AV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T153"/>
      <c r="CU153"/>
      <c r="CV153"/>
      <c r="CW153"/>
      <c r="CX153"/>
      <c r="CY153"/>
      <c r="CZ153"/>
    </row>
    <row r="154" spans="33:104">
      <c r="AG154" s="1"/>
      <c r="AH154" s="1"/>
      <c r="AI154" s="1"/>
      <c r="AJ154" s="1"/>
      <c r="AR154" s="1"/>
      <c r="AS154" s="1"/>
      <c r="AT154" s="1"/>
      <c r="AV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T154"/>
      <c r="CU154"/>
      <c r="CV154"/>
      <c r="CW154"/>
      <c r="CX154"/>
      <c r="CY154"/>
      <c r="CZ154"/>
    </row>
    <row r="155" spans="33:104">
      <c r="AG155" s="1"/>
      <c r="AH155" s="1"/>
      <c r="AI155" s="1"/>
      <c r="AJ155" s="1"/>
      <c r="AR155" s="1"/>
      <c r="AS155" s="1"/>
      <c r="AT155" s="1"/>
      <c r="AV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T155"/>
      <c r="CU155"/>
      <c r="CV155"/>
      <c r="CW155"/>
      <c r="CX155"/>
      <c r="CY155"/>
      <c r="CZ155"/>
    </row>
    <row r="156" spans="33:104">
      <c r="AG156" s="1"/>
      <c r="AH156" s="1"/>
      <c r="AI156" s="1"/>
      <c r="AJ156" s="1"/>
      <c r="AR156" s="1"/>
      <c r="AS156" s="1"/>
      <c r="AT156" s="1"/>
      <c r="AV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T156"/>
      <c r="CU156"/>
      <c r="CV156"/>
      <c r="CW156"/>
      <c r="CX156"/>
      <c r="CY156"/>
      <c r="CZ156"/>
    </row>
    <row r="157" spans="33:104">
      <c r="AG157" s="1"/>
      <c r="AH157" s="1"/>
      <c r="AI157" s="1"/>
      <c r="AJ157" s="1"/>
      <c r="AR157" s="1"/>
      <c r="AS157" s="1"/>
      <c r="AT157" s="1"/>
      <c r="AV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T157"/>
      <c r="CU157"/>
      <c r="CV157"/>
      <c r="CW157"/>
      <c r="CX157"/>
      <c r="CY157"/>
      <c r="CZ157"/>
    </row>
    <row r="158" spans="33:104">
      <c r="AG158" s="1"/>
      <c r="AH158" s="1"/>
      <c r="AI158" s="1"/>
      <c r="AJ158" s="1"/>
      <c r="AR158" s="1"/>
      <c r="AS158" s="1"/>
      <c r="AT158" s="1"/>
      <c r="AV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T158"/>
      <c r="CU158"/>
      <c r="CV158"/>
      <c r="CW158"/>
      <c r="CX158"/>
      <c r="CY158"/>
      <c r="CZ158"/>
    </row>
    <row r="159" spans="33:104">
      <c r="AG159" s="1"/>
      <c r="AH159" s="1"/>
      <c r="AI159" s="1"/>
      <c r="AJ159" s="1"/>
      <c r="AR159" s="1"/>
      <c r="AS159" s="1"/>
      <c r="AT159" s="1"/>
      <c r="AV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T159"/>
      <c r="CU159"/>
      <c r="CV159"/>
      <c r="CW159"/>
      <c r="CX159"/>
      <c r="CY159"/>
      <c r="CZ159"/>
    </row>
    <row r="160" spans="33:104">
      <c r="AG160" s="1"/>
      <c r="AH160" s="1"/>
      <c r="AI160" s="1"/>
      <c r="AJ160" s="1"/>
      <c r="AR160" s="1"/>
      <c r="AS160" s="1"/>
      <c r="AT160" s="1"/>
      <c r="AV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T160"/>
      <c r="CU160"/>
      <c r="CV160"/>
      <c r="CW160"/>
      <c r="CX160"/>
      <c r="CY160"/>
      <c r="CZ160"/>
    </row>
    <row r="161" spans="33:104">
      <c r="AG161" s="1"/>
      <c r="AH161" s="1"/>
      <c r="AI161" s="1"/>
      <c r="AJ161" s="1"/>
      <c r="AR161" s="1"/>
      <c r="AS161" s="1"/>
      <c r="AT161" s="1"/>
      <c r="AV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T161"/>
      <c r="CU161"/>
      <c r="CV161"/>
      <c r="CW161"/>
      <c r="CX161"/>
      <c r="CY161"/>
      <c r="CZ161"/>
    </row>
    <row r="162" spans="33:104">
      <c r="AG162" s="1"/>
      <c r="AH162" s="1"/>
      <c r="AI162" s="1"/>
      <c r="AJ162" s="1"/>
      <c r="AR162" s="1"/>
      <c r="AS162" s="1"/>
      <c r="AT162" s="1"/>
      <c r="AV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T162"/>
      <c r="CU162"/>
      <c r="CV162"/>
      <c r="CW162"/>
      <c r="CX162"/>
      <c r="CY162"/>
      <c r="CZ162"/>
    </row>
    <row r="163" spans="33:104">
      <c r="AG163" s="1"/>
      <c r="AH163" s="1"/>
      <c r="AI163" s="1"/>
      <c r="AJ163" s="1"/>
      <c r="AR163" s="1"/>
      <c r="AS163" s="1"/>
      <c r="AT163" s="1"/>
      <c r="AV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T163"/>
      <c r="CU163"/>
      <c r="CV163"/>
      <c r="CW163"/>
      <c r="CX163"/>
      <c r="CY163"/>
      <c r="CZ163"/>
    </row>
    <row r="164" spans="33:104">
      <c r="AG164" s="1"/>
      <c r="AH164" s="1"/>
      <c r="AI164" s="1"/>
      <c r="AJ164" s="1"/>
      <c r="AR164" s="1"/>
      <c r="AS164" s="1"/>
      <c r="AT164" s="1"/>
      <c r="AV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T164"/>
      <c r="CU164"/>
      <c r="CV164"/>
      <c r="CW164"/>
      <c r="CX164"/>
      <c r="CY164"/>
      <c r="CZ164"/>
    </row>
    <row r="165" spans="33:104">
      <c r="AG165" s="1"/>
      <c r="AH165" s="1"/>
      <c r="AI165" s="1"/>
      <c r="AJ165" s="1"/>
      <c r="AR165" s="1"/>
      <c r="AS165" s="1"/>
      <c r="AT165" s="1"/>
      <c r="AV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T165"/>
      <c r="CU165"/>
      <c r="CV165"/>
      <c r="CW165"/>
      <c r="CX165"/>
      <c r="CY165"/>
      <c r="CZ165"/>
    </row>
    <row r="166" spans="33:104">
      <c r="AG166" s="1"/>
      <c r="AH166" s="1"/>
      <c r="AI166" s="1"/>
      <c r="AJ166" s="1"/>
      <c r="AR166" s="1"/>
      <c r="AS166" s="1"/>
      <c r="AT166" s="1"/>
      <c r="AV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T166"/>
      <c r="CU166"/>
      <c r="CV166"/>
      <c r="CW166"/>
      <c r="CX166"/>
      <c r="CY166"/>
      <c r="CZ166"/>
    </row>
    <row r="167" spans="33:104">
      <c r="AG167" s="1"/>
      <c r="AH167" s="1"/>
      <c r="AI167" s="1"/>
      <c r="AJ167" s="1"/>
      <c r="AR167" s="1"/>
      <c r="AS167" s="1"/>
      <c r="AT167" s="1"/>
      <c r="AV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T167"/>
      <c r="CU167"/>
      <c r="CV167"/>
      <c r="CW167"/>
      <c r="CX167"/>
      <c r="CY167"/>
      <c r="CZ167"/>
    </row>
    <row r="168" spans="33:104">
      <c r="AG168" s="1"/>
      <c r="AH168" s="1"/>
      <c r="AI168" s="1"/>
      <c r="AJ168" s="1"/>
      <c r="AR168" s="1"/>
      <c r="AS168" s="1"/>
      <c r="AT168" s="1"/>
      <c r="AV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T168"/>
      <c r="CU168"/>
      <c r="CV168"/>
      <c r="CW168"/>
      <c r="CX168"/>
      <c r="CY168"/>
      <c r="CZ168"/>
    </row>
    <row r="169" spans="33:104">
      <c r="AG169" s="1"/>
      <c r="AH169" s="1"/>
      <c r="AI169" s="1"/>
      <c r="AJ169" s="1"/>
      <c r="AR169" s="1"/>
      <c r="AS169" s="1"/>
      <c r="AT169" s="1"/>
      <c r="AV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T169"/>
      <c r="CU169"/>
      <c r="CV169"/>
      <c r="CW169"/>
      <c r="CX169"/>
      <c r="CY169"/>
      <c r="CZ169"/>
    </row>
    <row r="170" spans="33:104">
      <c r="AG170" s="1"/>
      <c r="AH170" s="1"/>
      <c r="AI170" s="1"/>
      <c r="AJ170" s="1"/>
      <c r="AR170" s="1"/>
      <c r="AS170" s="1"/>
      <c r="AT170" s="1"/>
      <c r="AV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T170"/>
      <c r="CU170"/>
      <c r="CV170"/>
      <c r="CW170"/>
      <c r="CX170"/>
      <c r="CY170"/>
      <c r="CZ170"/>
    </row>
    <row r="171" spans="33:104">
      <c r="AG171" s="1"/>
      <c r="AH171" s="1"/>
      <c r="AI171" s="1"/>
      <c r="AJ171" s="1"/>
      <c r="AR171" s="1"/>
      <c r="AS171" s="1"/>
      <c r="AT171" s="1"/>
      <c r="AV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T171"/>
      <c r="CU171"/>
      <c r="CV171"/>
      <c r="CW171"/>
      <c r="CX171"/>
      <c r="CY171"/>
      <c r="CZ171"/>
    </row>
    <row r="172" spans="33:104">
      <c r="AG172" s="1"/>
      <c r="AH172" s="1"/>
      <c r="AI172" s="1"/>
      <c r="AJ172" s="1"/>
      <c r="AR172" s="1"/>
      <c r="AS172" s="1"/>
      <c r="AT172" s="1"/>
      <c r="AV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T172"/>
      <c r="CU172"/>
      <c r="CV172"/>
      <c r="CW172"/>
      <c r="CX172"/>
      <c r="CY172"/>
      <c r="CZ172"/>
    </row>
    <row r="173" spans="33:104">
      <c r="AG173" s="1"/>
      <c r="AH173" s="1"/>
      <c r="AI173" s="1"/>
      <c r="AJ173" s="1"/>
      <c r="AR173" s="1"/>
      <c r="AS173" s="1"/>
      <c r="AT173" s="1"/>
      <c r="AV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T173"/>
      <c r="CU173"/>
      <c r="CV173"/>
      <c r="CW173"/>
      <c r="CX173"/>
      <c r="CY173"/>
      <c r="CZ173"/>
    </row>
    <row r="174" spans="33:104">
      <c r="AG174" s="1"/>
      <c r="AH174" s="1"/>
      <c r="AI174" s="1"/>
      <c r="AJ174" s="1"/>
      <c r="AR174" s="1"/>
      <c r="AS174" s="1"/>
      <c r="AT174" s="1"/>
      <c r="AV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T174"/>
      <c r="CU174"/>
      <c r="CV174"/>
      <c r="CW174"/>
      <c r="CX174"/>
      <c r="CY174"/>
      <c r="CZ174"/>
    </row>
    <row r="175" spans="33:104">
      <c r="AG175" s="1"/>
      <c r="AH175" s="1"/>
      <c r="AI175" s="1"/>
      <c r="AJ175" s="1"/>
      <c r="AR175" s="1"/>
      <c r="AS175" s="1"/>
      <c r="AT175" s="1"/>
      <c r="AV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T175"/>
      <c r="CU175"/>
      <c r="CV175"/>
      <c r="CW175"/>
      <c r="CX175"/>
      <c r="CY175"/>
      <c r="CZ175"/>
    </row>
    <row r="176" spans="33:104">
      <c r="AG176" s="1"/>
      <c r="AH176" s="1"/>
      <c r="AI176" s="1"/>
      <c r="AJ176" s="1"/>
      <c r="AR176" s="1"/>
      <c r="AS176" s="1"/>
      <c r="AT176" s="1"/>
      <c r="AV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T176"/>
      <c r="CU176"/>
      <c r="CV176"/>
      <c r="CW176"/>
      <c r="CX176"/>
      <c r="CY176"/>
      <c r="CZ176"/>
    </row>
    <row r="177" spans="33:104">
      <c r="AG177" s="1"/>
      <c r="AH177" s="1"/>
      <c r="AI177" s="1"/>
      <c r="AJ177" s="1"/>
      <c r="AR177" s="1"/>
      <c r="AS177" s="1"/>
      <c r="AT177" s="1"/>
      <c r="AV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T177"/>
      <c r="CU177"/>
      <c r="CV177"/>
      <c r="CW177"/>
      <c r="CX177"/>
      <c r="CY177"/>
      <c r="CZ177"/>
    </row>
    <row r="178" spans="33:104">
      <c r="AG178" s="1"/>
      <c r="AH178" s="1"/>
      <c r="AI178" s="1"/>
      <c r="AJ178" s="1"/>
      <c r="AR178" s="1"/>
      <c r="AS178" s="1"/>
      <c r="AT178" s="1"/>
      <c r="AV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T178"/>
      <c r="CU178"/>
      <c r="CV178"/>
      <c r="CW178"/>
      <c r="CX178"/>
      <c r="CY178"/>
      <c r="CZ178"/>
    </row>
    <row r="179" spans="33:104">
      <c r="AG179" s="1"/>
      <c r="AH179" s="1"/>
      <c r="AI179" s="1"/>
      <c r="AJ179" s="1"/>
      <c r="AR179" s="1"/>
      <c r="AS179" s="1"/>
      <c r="AT179" s="1"/>
      <c r="AV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T179"/>
      <c r="CU179"/>
      <c r="CV179"/>
      <c r="CW179"/>
      <c r="CX179"/>
      <c r="CY179"/>
      <c r="CZ179"/>
    </row>
    <row r="180" spans="33:104">
      <c r="AG180" s="1"/>
      <c r="AH180" s="1"/>
      <c r="AI180" s="1"/>
      <c r="AJ180" s="1"/>
      <c r="AR180" s="1"/>
      <c r="AS180" s="1"/>
      <c r="AT180" s="1"/>
      <c r="AV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T180"/>
      <c r="CU180"/>
      <c r="CV180"/>
      <c r="CW180"/>
      <c r="CX180"/>
      <c r="CY180"/>
      <c r="CZ180"/>
    </row>
    <row r="181" spans="33:104">
      <c r="AG181" s="1"/>
      <c r="AH181" s="1"/>
      <c r="AI181" s="1"/>
      <c r="AJ181" s="1"/>
      <c r="AR181" s="1"/>
      <c r="AS181" s="1"/>
      <c r="AT181" s="1"/>
      <c r="AV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T181"/>
      <c r="CU181"/>
      <c r="CV181"/>
      <c r="CW181"/>
      <c r="CX181"/>
      <c r="CY181"/>
      <c r="CZ181"/>
    </row>
    <row r="182" spans="33:104">
      <c r="AG182" s="1"/>
      <c r="AH182" s="1"/>
      <c r="AI182" s="1"/>
      <c r="AJ182" s="1"/>
      <c r="AR182" s="1"/>
      <c r="AS182" s="1"/>
      <c r="AT182" s="1"/>
      <c r="AV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T182"/>
      <c r="CU182"/>
      <c r="CV182"/>
      <c r="CW182"/>
      <c r="CX182"/>
      <c r="CY182"/>
      <c r="CZ182"/>
    </row>
    <row r="183" spans="33:104">
      <c r="AG183" s="1"/>
      <c r="AH183" s="1"/>
      <c r="AI183" s="1"/>
      <c r="AJ183" s="1"/>
      <c r="AR183" s="1"/>
      <c r="AS183" s="1"/>
      <c r="AT183" s="1"/>
      <c r="AV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T183"/>
      <c r="CU183"/>
      <c r="CV183"/>
      <c r="CW183"/>
      <c r="CX183"/>
      <c r="CY183"/>
      <c r="CZ183"/>
    </row>
    <row r="184" spans="33:104">
      <c r="AG184" s="1"/>
      <c r="AH184" s="1"/>
      <c r="AI184" s="1"/>
      <c r="AJ184" s="1"/>
      <c r="AR184" s="1"/>
      <c r="AS184" s="1"/>
      <c r="AT184" s="1"/>
      <c r="AV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T184"/>
      <c r="CU184"/>
      <c r="CV184"/>
      <c r="CW184"/>
      <c r="CX184"/>
      <c r="CY184"/>
      <c r="CZ184"/>
    </row>
    <row r="185" spans="33:104">
      <c r="AG185" s="1"/>
      <c r="AH185" s="1"/>
      <c r="AI185" s="1"/>
      <c r="AJ185" s="1"/>
      <c r="AR185" s="1"/>
      <c r="AS185" s="1"/>
      <c r="AT185" s="1"/>
      <c r="AV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T185"/>
      <c r="CU185"/>
      <c r="CV185"/>
      <c r="CW185"/>
      <c r="CX185"/>
      <c r="CY185"/>
      <c r="CZ185"/>
    </row>
    <row r="186" spans="33:104">
      <c r="AG186" s="1"/>
      <c r="AH186" s="1"/>
      <c r="AI186" s="1"/>
      <c r="AJ186" s="1"/>
      <c r="AR186" s="1"/>
      <c r="AS186" s="1"/>
      <c r="AT186" s="1"/>
      <c r="AV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T186"/>
      <c r="CU186"/>
      <c r="CV186"/>
      <c r="CW186"/>
      <c r="CX186"/>
      <c r="CY186"/>
      <c r="CZ186"/>
    </row>
    <row r="187" spans="33:104">
      <c r="AG187" s="1"/>
      <c r="AH187" s="1"/>
      <c r="AI187" s="1"/>
      <c r="AJ187" s="1"/>
      <c r="AR187" s="1"/>
      <c r="AS187" s="1"/>
      <c r="AT187" s="1"/>
      <c r="AV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T187"/>
      <c r="CU187"/>
      <c r="CV187"/>
      <c r="CW187"/>
      <c r="CX187"/>
      <c r="CY187"/>
      <c r="CZ187"/>
    </row>
    <row r="188" spans="33:104">
      <c r="AG188" s="1"/>
      <c r="AH188" s="1"/>
      <c r="AI188" s="1"/>
      <c r="AJ188" s="1"/>
      <c r="AR188" s="1"/>
      <c r="AS188" s="1"/>
      <c r="AT188" s="1"/>
      <c r="AV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T188"/>
      <c r="CU188"/>
      <c r="CV188"/>
      <c r="CW188"/>
      <c r="CX188"/>
      <c r="CY188"/>
      <c r="CZ188"/>
    </row>
    <row r="189" spans="33:104">
      <c r="AG189" s="1"/>
      <c r="AH189" s="1"/>
      <c r="AI189" s="1"/>
      <c r="AJ189" s="1"/>
      <c r="AR189" s="1"/>
      <c r="AS189" s="1"/>
      <c r="AT189" s="1"/>
      <c r="AV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T189"/>
      <c r="CU189"/>
      <c r="CV189"/>
      <c r="CW189"/>
      <c r="CX189"/>
      <c r="CY189"/>
      <c r="CZ189"/>
    </row>
    <row r="190" spans="33:104">
      <c r="AG190" s="1"/>
      <c r="AH190" s="1"/>
      <c r="AI190" s="1"/>
      <c r="AJ190" s="1"/>
      <c r="AR190" s="1"/>
      <c r="AS190" s="1"/>
      <c r="AT190" s="1"/>
      <c r="AV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T190"/>
      <c r="CU190"/>
      <c r="CV190"/>
      <c r="CW190"/>
      <c r="CX190"/>
      <c r="CY190"/>
      <c r="CZ190"/>
    </row>
    <row r="191" spans="33:104">
      <c r="AG191" s="1"/>
      <c r="AH191" s="1"/>
      <c r="AI191" s="1"/>
      <c r="AJ191" s="1"/>
      <c r="AR191" s="1"/>
      <c r="AS191" s="1"/>
      <c r="AT191" s="1"/>
      <c r="AV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T191"/>
      <c r="CU191"/>
      <c r="CV191"/>
      <c r="CW191"/>
      <c r="CX191"/>
      <c r="CY191"/>
      <c r="CZ191"/>
    </row>
    <row r="192" spans="33:104">
      <c r="AG192" s="1"/>
      <c r="AH192" s="1"/>
      <c r="AI192" s="1"/>
      <c r="AJ192" s="1"/>
      <c r="AR192" s="1"/>
      <c r="AS192" s="1"/>
      <c r="AT192" s="1"/>
      <c r="AV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T192"/>
      <c r="CU192"/>
      <c r="CV192"/>
      <c r="CW192"/>
      <c r="CX192"/>
      <c r="CY192"/>
      <c r="CZ192"/>
    </row>
    <row r="193" spans="33:104">
      <c r="AG193" s="1"/>
      <c r="AH193" s="1"/>
      <c r="AI193" s="1"/>
      <c r="AJ193" s="1"/>
      <c r="AR193" s="1"/>
      <c r="AS193" s="1"/>
      <c r="AT193" s="1"/>
      <c r="AV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T193"/>
      <c r="CU193"/>
      <c r="CV193"/>
      <c r="CW193"/>
      <c r="CX193"/>
      <c r="CY193"/>
      <c r="CZ193"/>
    </row>
    <row r="194" spans="33:104">
      <c r="AG194" s="1"/>
      <c r="AH194" s="1"/>
      <c r="AI194" s="1"/>
      <c r="AJ194" s="1"/>
      <c r="AR194" s="1"/>
      <c r="AS194" s="1"/>
      <c r="AT194" s="1"/>
      <c r="AV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T194"/>
      <c r="CU194"/>
      <c r="CV194"/>
      <c r="CW194"/>
      <c r="CX194"/>
      <c r="CY194"/>
      <c r="CZ194"/>
    </row>
    <row r="195" spans="33:104">
      <c r="AG195" s="1"/>
      <c r="AH195" s="1"/>
      <c r="AI195" s="1"/>
      <c r="AJ195" s="1"/>
      <c r="AR195" s="1"/>
      <c r="AS195" s="1"/>
      <c r="AT195" s="1"/>
      <c r="AV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T195"/>
      <c r="CU195"/>
      <c r="CV195"/>
      <c r="CW195"/>
      <c r="CX195"/>
      <c r="CY195"/>
      <c r="CZ195"/>
    </row>
    <row r="196" spans="33:104">
      <c r="AG196" s="1"/>
      <c r="AH196" s="1"/>
      <c r="AI196" s="1"/>
      <c r="AJ196" s="1"/>
      <c r="AR196" s="1"/>
      <c r="AS196" s="1"/>
      <c r="AT196" s="1"/>
      <c r="AV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T196"/>
      <c r="CU196"/>
      <c r="CV196"/>
      <c r="CW196"/>
      <c r="CX196"/>
      <c r="CY196"/>
      <c r="CZ196"/>
    </row>
    <row r="197" spans="33:104">
      <c r="AG197" s="1"/>
      <c r="AH197" s="1"/>
      <c r="AI197" s="1"/>
      <c r="AJ197" s="1"/>
      <c r="AR197" s="1"/>
      <c r="AS197" s="1"/>
      <c r="AT197" s="1"/>
      <c r="AV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T197"/>
      <c r="CU197"/>
      <c r="CV197"/>
      <c r="CW197"/>
      <c r="CX197"/>
      <c r="CY197"/>
      <c r="CZ197"/>
    </row>
    <row r="198" spans="33:104">
      <c r="AG198" s="1"/>
      <c r="AH198" s="1"/>
      <c r="AI198" s="1"/>
      <c r="AJ198" s="1"/>
      <c r="AR198" s="1"/>
      <c r="AS198" s="1"/>
      <c r="AT198" s="1"/>
      <c r="AV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T198"/>
      <c r="CU198"/>
      <c r="CV198"/>
      <c r="CW198"/>
      <c r="CX198"/>
      <c r="CY198"/>
      <c r="CZ198"/>
    </row>
    <row r="199" spans="33:104">
      <c r="AG199" s="1"/>
      <c r="AH199" s="1"/>
      <c r="AI199" s="1"/>
      <c r="AJ199" s="1"/>
      <c r="AR199" s="1"/>
      <c r="AS199" s="1"/>
      <c r="AT199" s="1"/>
      <c r="AV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T199"/>
      <c r="CU199"/>
      <c r="CV199"/>
      <c r="CW199"/>
      <c r="CX199"/>
      <c r="CY199"/>
      <c r="CZ199"/>
    </row>
    <row r="200" spans="33:104">
      <c r="AG200" s="1"/>
      <c r="AH200" s="1"/>
      <c r="AI200" s="1"/>
      <c r="AJ200" s="1"/>
      <c r="AR200" s="1"/>
      <c r="AS200" s="1"/>
      <c r="AT200" s="1"/>
      <c r="AV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T200"/>
      <c r="CU200"/>
      <c r="CV200"/>
      <c r="CW200"/>
      <c r="CX200"/>
      <c r="CY200"/>
      <c r="CZ200"/>
    </row>
    <row r="201" spans="33:104">
      <c r="AG201" s="1"/>
      <c r="AH201" s="1"/>
      <c r="AI201" s="1"/>
      <c r="AJ201" s="1"/>
      <c r="AR201" s="1"/>
      <c r="AS201" s="1"/>
      <c r="AT201" s="1"/>
      <c r="AV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T201"/>
      <c r="CU201"/>
      <c r="CV201"/>
      <c r="CW201"/>
      <c r="CX201"/>
      <c r="CY201"/>
      <c r="CZ201"/>
    </row>
    <row r="202" spans="33:104">
      <c r="AG202" s="1"/>
      <c r="AH202" s="1"/>
      <c r="AI202" s="1"/>
      <c r="AJ202" s="1"/>
      <c r="AR202" s="1"/>
      <c r="AS202" s="1"/>
      <c r="AT202" s="1"/>
      <c r="AV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T202"/>
      <c r="CU202"/>
      <c r="CV202"/>
      <c r="CW202"/>
      <c r="CX202"/>
      <c r="CY202"/>
      <c r="CZ202"/>
    </row>
    <row r="203" spans="33:104">
      <c r="AG203" s="1"/>
      <c r="AH203" s="1"/>
      <c r="AI203" s="1"/>
      <c r="AJ203" s="1"/>
      <c r="AR203" s="1"/>
      <c r="AS203" s="1"/>
      <c r="AT203" s="1"/>
      <c r="AV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T203"/>
      <c r="CU203"/>
      <c r="CV203"/>
      <c r="CW203"/>
      <c r="CX203"/>
      <c r="CY203"/>
      <c r="CZ203"/>
    </row>
    <row r="204" spans="33:104">
      <c r="AG204" s="1"/>
      <c r="AH204" s="1"/>
      <c r="AI204" s="1"/>
      <c r="AJ204" s="1"/>
      <c r="AR204" s="1"/>
      <c r="AS204" s="1"/>
      <c r="AT204" s="1"/>
      <c r="AV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T204"/>
      <c r="CU204"/>
      <c r="CV204"/>
      <c r="CW204"/>
      <c r="CX204"/>
      <c r="CY204"/>
      <c r="CZ204"/>
    </row>
    <row r="205" spans="33:104">
      <c r="AG205" s="1"/>
      <c r="AH205" s="1"/>
      <c r="AI205" s="1"/>
      <c r="AJ205" s="1"/>
      <c r="AR205" s="1"/>
      <c r="AS205" s="1"/>
      <c r="AT205" s="1"/>
      <c r="AV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T205"/>
      <c r="CU205"/>
      <c r="CV205"/>
      <c r="CW205"/>
      <c r="CX205"/>
      <c r="CY205"/>
      <c r="CZ205"/>
    </row>
    <row r="206" spans="33:104">
      <c r="AG206" s="1"/>
      <c r="AH206" s="1"/>
      <c r="AI206" s="1"/>
      <c r="AJ206" s="1"/>
      <c r="AR206" s="1"/>
      <c r="AS206" s="1"/>
      <c r="AT206" s="1"/>
      <c r="AV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T206"/>
      <c r="CU206"/>
      <c r="CV206"/>
      <c r="CW206"/>
      <c r="CX206"/>
      <c r="CY206"/>
      <c r="CZ206"/>
    </row>
    <row r="207" spans="33:104">
      <c r="AG207" s="1"/>
      <c r="AH207" s="1"/>
      <c r="AI207" s="1"/>
      <c r="AJ207" s="1"/>
      <c r="AR207" s="1"/>
      <c r="AS207" s="1"/>
      <c r="AT207" s="1"/>
      <c r="AV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T207"/>
      <c r="CU207"/>
      <c r="CV207"/>
      <c r="CW207"/>
      <c r="CX207"/>
      <c r="CY207"/>
      <c r="CZ207"/>
    </row>
    <row r="208" spans="33:104">
      <c r="AG208" s="1"/>
      <c r="AH208" s="1"/>
      <c r="AI208" s="1"/>
      <c r="AJ208" s="1"/>
      <c r="AR208" s="1"/>
      <c r="AS208" s="1"/>
      <c r="AT208" s="1"/>
      <c r="AV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T208"/>
      <c r="CU208"/>
      <c r="CV208"/>
      <c r="CW208"/>
      <c r="CX208"/>
      <c r="CY208"/>
      <c r="CZ208"/>
    </row>
    <row r="209" spans="33:104">
      <c r="AG209" s="1"/>
      <c r="AH209" s="1"/>
      <c r="AI209" s="1"/>
      <c r="AJ209" s="1"/>
      <c r="AR209" s="1"/>
      <c r="AS209" s="1"/>
      <c r="AT209" s="1"/>
      <c r="AV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T209"/>
      <c r="CU209"/>
      <c r="CV209"/>
      <c r="CW209"/>
      <c r="CX209"/>
      <c r="CY209"/>
      <c r="CZ209"/>
    </row>
    <row r="210" spans="33:104">
      <c r="AG210" s="1"/>
      <c r="AH210" s="1"/>
      <c r="AI210" s="1"/>
      <c r="AJ210" s="1"/>
      <c r="AR210" s="1"/>
      <c r="AS210" s="1"/>
      <c r="AT210" s="1"/>
      <c r="AV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T210"/>
      <c r="CU210"/>
      <c r="CV210"/>
      <c r="CW210"/>
      <c r="CX210"/>
      <c r="CY210"/>
      <c r="CZ210"/>
    </row>
    <row r="211" spans="33:104">
      <c r="AG211" s="1"/>
      <c r="AH211" s="1"/>
      <c r="AI211" s="1"/>
      <c r="AJ211" s="1"/>
      <c r="AR211" s="1"/>
      <c r="AS211" s="1"/>
      <c r="AT211" s="1"/>
      <c r="AV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T211"/>
      <c r="CU211"/>
      <c r="CV211"/>
      <c r="CW211"/>
      <c r="CX211"/>
      <c r="CY211"/>
      <c r="CZ211"/>
    </row>
    <row r="212" spans="33:104">
      <c r="AG212" s="1"/>
      <c r="AH212" s="1"/>
      <c r="AI212" s="1"/>
      <c r="AJ212" s="1"/>
      <c r="AR212" s="1"/>
      <c r="AS212" s="1"/>
      <c r="AT212" s="1"/>
      <c r="AV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T212"/>
      <c r="CU212"/>
      <c r="CV212"/>
      <c r="CW212"/>
      <c r="CX212"/>
      <c r="CY212"/>
      <c r="CZ212"/>
    </row>
    <row r="213" spans="33:104">
      <c r="AG213" s="1"/>
      <c r="AH213" s="1"/>
      <c r="AI213" s="1"/>
      <c r="AJ213" s="1"/>
      <c r="AR213" s="1"/>
      <c r="AS213" s="1"/>
      <c r="AT213" s="1"/>
      <c r="AV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T213"/>
      <c r="CU213"/>
      <c r="CV213"/>
      <c r="CW213"/>
      <c r="CX213"/>
      <c r="CY213"/>
      <c r="CZ213"/>
    </row>
    <row r="214" spans="33:104">
      <c r="AG214" s="1"/>
      <c r="AH214" s="1"/>
      <c r="AI214" s="1"/>
      <c r="AJ214" s="1"/>
      <c r="AR214" s="1"/>
      <c r="AS214" s="1"/>
      <c r="AT214" s="1"/>
      <c r="AV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T214"/>
      <c r="CU214"/>
      <c r="CV214"/>
      <c r="CW214"/>
      <c r="CX214"/>
      <c r="CY214"/>
      <c r="CZ214"/>
    </row>
    <row r="215" spans="33:104">
      <c r="AG215" s="1"/>
      <c r="AH215" s="1"/>
      <c r="AI215" s="1"/>
      <c r="AJ215" s="1"/>
      <c r="AR215" s="1"/>
      <c r="AS215" s="1"/>
      <c r="AT215" s="1"/>
      <c r="AV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T215"/>
      <c r="CU215"/>
      <c r="CV215"/>
      <c r="CW215"/>
      <c r="CX215"/>
      <c r="CY215"/>
      <c r="CZ215"/>
    </row>
    <row r="216" spans="33:104">
      <c r="AG216" s="1"/>
      <c r="AH216" s="1"/>
      <c r="AI216" s="1"/>
      <c r="AJ216" s="1"/>
      <c r="AR216" s="1"/>
      <c r="AS216" s="1"/>
      <c r="AT216" s="1"/>
      <c r="AV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T216"/>
      <c r="CU216"/>
      <c r="CV216"/>
      <c r="CW216"/>
      <c r="CX216"/>
      <c r="CY216"/>
      <c r="CZ216"/>
    </row>
    <row r="217" spans="33:104">
      <c r="AG217" s="1"/>
      <c r="AH217" s="1"/>
      <c r="AI217" s="1"/>
      <c r="AJ217" s="1"/>
      <c r="AR217" s="1"/>
      <c r="AS217" s="1"/>
      <c r="AT217" s="1"/>
      <c r="AV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T217"/>
      <c r="CU217"/>
      <c r="CV217"/>
      <c r="CW217"/>
      <c r="CX217"/>
      <c r="CY217"/>
      <c r="CZ217"/>
    </row>
    <row r="218" spans="33:104">
      <c r="AG218" s="1"/>
      <c r="AH218" s="1"/>
      <c r="AI218" s="1"/>
      <c r="AJ218" s="1"/>
      <c r="AR218" s="1"/>
      <c r="AS218" s="1"/>
      <c r="AT218" s="1"/>
      <c r="AV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T218"/>
      <c r="CU218"/>
      <c r="CV218"/>
      <c r="CW218"/>
      <c r="CX218"/>
      <c r="CY218"/>
      <c r="CZ218"/>
    </row>
    <row r="219" spans="33:104">
      <c r="AG219" s="1"/>
      <c r="AH219" s="1"/>
      <c r="AI219" s="1"/>
      <c r="AJ219" s="1"/>
      <c r="AR219" s="1"/>
      <c r="AS219" s="1"/>
      <c r="AT219" s="1"/>
      <c r="AV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T219"/>
      <c r="CU219"/>
      <c r="CV219"/>
      <c r="CW219"/>
      <c r="CX219"/>
      <c r="CY219"/>
      <c r="CZ219"/>
    </row>
    <row r="220" spans="33:104">
      <c r="AG220" s="1"/>
      <c r="AH220" s="1"/>
      <c r="AI220" s="1"/>
      <c r="AJ220" s="1"/>
      <c r="AR220" s="1"/>
      <c r="AS220" s="1"/>
      <c r="AT220" s="1"/>
      <c r="AV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T220"/>
      <c r="CU220"/>
      <c r="CV220"/>
      <c r="CW220"/>
      <c r="CX220"/>
      <c r="CY220"/>
      <c r="CZ220"/>
    </row>
    <row r="221" spans="33:104">
      <c r="AG221" s="1"/>
      <c r="AH221" s="1"/>
      <c r="AI221" s="1"/>
      <c r="AJ221" s="1"/>
      <c r="AR221" s="1"/>
      <c r="AS221" s="1"/>
      <c r="AT221" s="1"/>
      <c r="AV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T221"/>
      <c r="CU221"/>
      <c r="CV221"/>
      <c r="CW221"/>
      <c r="CX221"/>
      <c r="CY221"/>
      <c r="CZ221"/>
    </row>
    <row r="222" spans="33:104">
      <c r="AG222" s="1"/>
      <c r="AH222" s="1"/>
      <c r="AI222" s="1"/>
      <c r="AJ222" s="1"/>
      <c r="AR222" s="1"/>
      <c r="AS222" s="1"/>
      <c r="AT222" s="1"/>
      <c r="AV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T222"/>
      <c r="CU222"/>
      <c r="CV222"/>
      <c r="CW222"/>
      <c r="CX222"/>
      <c r="CY222"/>
      <c r="CZ222"/>
    </row>
    <row r="223" spans="33:104">
      <c r="AG223" s="1"/>
      <c r="AH223" s="1"/>
      <c r="AI223" s="1"/>
      <c r="AJ223" s="1"/>
      <c r="AR223" s="1"/>
      <c r="AS223" s="1"/>
      <c r="AT223" s="1"/>
      <c r="AV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T223"/>
      <c r="CU223"/>
      <c r="CV223"/>
      <c r="CW223"/>
      <c r="CX223"/>
      <c r="CY223"/>
      <c r="CZ223"/>
    </row>
    <row r="224" spans="33:104">
      <c r="AG224" s="1"/>
      <c r="AH224" s="1"/>
      <c r="AI224" s="1"/>
      <c r="AJ224" s="1"/>
      <c r="AR224" s="1"/>
      <c r="AS224" s="1"/>
      <c r="AT224" s="1"/>
      <c r="AV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T224"/>
      <c r="CU224"/>
      <c r="CV224"/>
      <c r="CW224"/>
      <c r="CX224"/>
      <c r="CY224"/>
      <c r="CZ224"/>
    </row>
    <row r="225" spans="33:104">
      <c r="AG225" s="1"/>
      <c r="AH225" s="1"/>
      <c r="AI225" s="1"/>
      <c r="AJ225" s="1"/>
      <c r="AR225" s="1"/>
      <c r="AS225" s="1"/>
      <c r="AT225" s="1"/>
      <c r="AV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T225"/>
      <c r="CU225"/>
      <c r="CV225"/>
      <c r="CW225"/>
      <c r="CX225"/>
      <c r="CY225"/>
      <c r="CZ225"/>
    </row>
    <row r="226" spans="33:104">
      <c r="AG226" s="1"/>
      <c r="AH226" s="1"/>
      <c r="AI226" s="1"/>
      <c r="AJ226" s="1"/>
      <c r="AR226" s="1"/>
      <c r="AS226" s="1"/>
      <c r="AT226" s="1"/>
      <c r="AV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T226"/>
      <c r="CU226"/>
      <c r="CV226"/>
      <c r="CW226"/>
      <c r="CX226"/>
      <c r="CY226"/>
      <c r="CZ226"/>
    </row>
    <row r="227" spans="33:104">
      <c r="AG227" s="1"/>
      <c r="AH227" s="1"/>
      <c r="AI227" s="1"/>
      <c r="AJ227" s="1"/>
      <c r="AR227" s="1"/>
      <c r="AS227" s="1"/>
      <c r="AT227" s="1"/>
      <c r="AV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T227"/>
      <c r="CU227"/>
      <c r="CV227"/>
      <c r="CW227"/>
      <c r="CX227"/>
      <c r="CY227"/>
      <c r="CZ227"/>
    </row>
    <row r="228" spans="33:104">
      <c r="AG228" s="1"/>
      <c r="AH228" s="1"/>
      <c r="AI228" s="1"/>
      <c r="AJ228" s="1"/>
      <c r="AR228" s="1"/>
      <c r="AS228" s="1"/>
      <c r="AT228" s="1"/>
      <c r="AV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T228"/>
      <c r="CU228"/>
      <c r="CV228"/>
      <c r="CW228"/>
      <c r="CX228"/>
      <c r="CY228"/>
      <c r="CZ228"/>
    </row>
    <row r="229" spans="33:104">
      <c r="AG229" s="1"/>
      <c r="AH229" s="1"/>
      <c r="AI229" s="1"/>
      <c r="AJ229" s="1"/>
      <c r="AR229" s="1"/>
      <c r="AS229" s="1"/>
      <c r="AT229" s="1"/>
      <c r="AV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T229"/>
      <c r="CU229"/>
      <c r="CV229"/>
      <c r="CW229"/>
      <c r="CX229"/>
      <c r="CY229"/>
      <c r="CZ229"/>
    </row>
    <row r="230" spans="33:104">
      <c r="AG230" s="1"/>
      <c r="AH230" s="1"/>
      <c r="AI230" s="1"/>
      <c r="AJ230" s="1"/>
      <c r="AR230" s="1"/>
      <c r="AS230" s="1"/>
      <c r="AT230" s="1"/>
      <c r="AV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T230"/>
      <c r="CU230"/>
      <c r="CV230"/>
      <c r="CW230"/>
      <c r="CX230"/>
      <c r="CY230"/>
      <c r="CZ230"/>
    </row>
    <row r="231" spans="33:104">
      <c r="AG231" s="1"/>
      <c r="AH231" s="1"/>
      <c r="AI231" s="1"/>
      <c r="AJ231" s="1"/>
      <c r="AR231" s="1"/>
      <c r="AS231" s="1"/>
      <c r="AT231" s="1"/>
      <c r="AV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T231"/>
      <c r="CU231"/>
      <c r="CV231"/>
      <c r="CW231"/>
      <c r="CX231"/>
      <c r="CY231"/>
      <c r="CZ231"/>
    </row>
    <row r="232" spans="33:104">
      <c r="AG232" s="1"/>
      <c r="AH232" s="1"/>
      <c r="AI232" s="1"/>
      <c r="AJ232" s="1"/>
      <c r="AR232" s="1"/>
      <c r="AS232" s="1"/>
      <c r="AT232" s="1"/>
      <c r="AV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T232"/>
      <c r="CU232"/>
      <c r="CV232"/>
      <c r="CW232"/>
      <c r="CX232"/>
      <c r="CY232"/>
      <c r="CZ232"/>
    </row>
    <row r="233" spans="33:104">
      <c r="AG233" s="1"/>
      <c r="AH233" s="1"/>
      <c r="AI233" s="1"/>
      <c r="AJ233" s="1"/>
      <c r="AR233" s="1"/>
      <c r="AS233" s="1"/>
      <c r="AT233" s="1"/>
      <c r="AV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T233"/>
      <c r="CU233"/>
      <c r="CV233"/>
      <c r="CW233"/>
      <c r="CX233"/>
      <c r="CY233"/>
      <c r="CZ233"/>
    </row>
    <row r="234" spans="33:104">
      <c r="AG234" s="1"/>
      <c r="AH234" s="1"/>
      <c r="AI234" s="1"/>
      <c r="AJ234" s="1"/>
      <c r="AR234" s="1"/>
      <c r="AS234" s="1"/>
      <c r="AT234" s="1"/>
      <c r="AV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T234"/>
      <c r="CU234"/>
      <c r="CV234"/>
      <c r="CW234"/>
      <c r="CX234"/>
      <c r="CY234"/>
      <c r="CZ234"/>
    </row>
    <row r="235" spans="33:104">
      <c r="AG235" s="1"/>
      <c r="AH235" s="1"/>
      <c r="AI235" s="1"/>
      <c r="AJ235" s="1"/>
      <c r="AR235" s="1"/>
      <c r="AS235" s="1"/>
      <c r="AT235" s="1"/>
      <c r="AV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T235"/>
      <c r="CU235"/>
      <c r="CV235"/>
      <c r="CW235"/>
      <c r="CX235"/>
      <c r="CY235"/>
      <c r="CZ235"/>
    </row>
    <row r="236" spans="33:104">
      <c r="AG236" s="1"/>
      <c r="AH236" s="1"/>
      <c r="AI236" s="1"/>
      <c r="AJ236" s="1"/>
      <c r="AR236" s="1"/>
      <c r="AS236" s="1"/>
      <c r="AT236" s="1"/>
      <c r="AV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T236"/>
      <c r="CU236"/>
      <c r="CV236"/>
      <c r="CW236"/>
      <c r="CX236"/>
      <c r="CY236"/>
      <c r="CZ236"/>
    </row>
    <row r="237" spans="33:104">
      <c r="AG237" s="1"/>
      <c r="AH237" s="1"/>
      <c r="AI237" s="1"/>
      <c r="AJ237" s="1"/>
      <c r="AR237" s="1"/>
      <c r="AS237" s="1"/>
      <c r="AT237" s="1"/>
      <c r="AV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T237"/>
      <c r="CU237"/>
      <c r="CV237"/>
      <c r="CW237"/>
      <c r="CX237"/>
      <c r="CY237"/>
      <c r="CZ237"/>
    </row>
    <row r="238" spans="33:104">
      <c r="AG238" s="1"/>
      <c r="AH238" s="1"/>
      <c r="AI238" s="1"/>
      <c r="AJ238" s="1"/>
      <c r="AR238" s="1"/>
      <c r="AS238" s="1"/>
      <c r="AT238" s="1"/>
      <c r="AV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T238"/>
      <c r="CU238"/>
      <c r="CV238"/>
      <c r="CW238"/>
      <c r="CX238"/>
      <c r="CY238"/>
      <c r="CZ238"/>
    </row>
    <row r="239" spans="33:104">
      <c r="AG239" s="1"/>
      <c r="AH239" s="1"/>
      <c r="AI239" s="1"/>
      <c r="AJ239" s="1"/>
      <c r="AR239" s="1"/>
      <c r="AS239" s="1"/>
      <c r="AT239" s="1"/>
      <c r="AV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T239"/>
      <c r="CU239"/>
      <c r="CV239"/>
      <c r="CW239"/>
      <c r="CX239"/>
      <c r="CY239"/>
      <c r="CZ239"/>
    </row>
    <row r="240" spans="33:104">
      <c r="AG240" s="1"/>
      <c r="AH240" s="1"/>
      <c r="AI240" s="1"/>
      <c r="AJ240" s="1"/>
      <c r="AR240" s="1"/>
      <c r="AS240" s="1"/>
      <c r="AT240" s="1"/>
      <c r="AV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T240"/>
      <c r="CU240"/>
      <c r="CV240"/>
      <c r="CW240"/>
      <c r="CX240"/>
      <c r="CY240"/>
      <c r="CZ240"/>
    </row>
    <row r="241" spans="33:104">
      <c r="AG241" s="1"/>
      <c r="AH241" s="1"/>
      <c r="AI241" s="1"/>
      <c r="AJ241" s="1"/>
      <c r="AR241" s="1"/>
      <c r="AS241" s="1"/>
      <c r="AT241" s="1"/>
      <c r="AV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T241"/>
      <c r="CU241"/>
      <c r="CV241"/>
      <c r="CW241"/>
      <c r="CX241"/>
      <c r="CY241"/>
      <c r="CZ241"/>
    </row>
    <row r="242" spans="33:104">
      <c r="AG242" s="1"/>
      <c r="AH242" s="1"/>
      <c r="AI242" s="1"/>
      <c r="AJ242" s="1"/>
      <c r="AR242" s="1"/>
      <c r="AS242" s="1"/>
      <c r="AT242" s="1"/>
      <c r="AV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T242"/>
      <c r="CU242"/>
      <c r="CV242"/>
      <c r="CW242"/>
      <c r="CX242"/>
      <c r="CY242"/>
      <c r="CZ242"/>
    </row>
    <row r="243" spans="33:104">
      <c r="AG243" s="1"/>
      <c r="AH243" s="1"/>
      <c r="AI243" s="1"/>
      <c r="AJ243" s="1"/>
      <c r="AR243" s="1"/>
      <c r="AS243" s="1"/>
      <c r="AT243" s="1"/>
      <c r="AV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T243"/>
      <c r="CU243"/>
      <c r="CV243"/>
      <c r="CW243"/>
      <c r="CX243"/>
      <c r="CY243"/>
      <c r="CZ243"/>
    </row>
    <row r="244" spans="33:104">
      <c r="AG244" s="1"/>
      <c r="AH244" s="1"/>
      <c r="AI244" s="1"/>
      <c r="AJ244" s="1"/>
      <c r="AR244" s="1"/>
      <c r="AS244" s="1"/>
      <c r="AT244" s="1"/>
      <c r="AV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T244"/>
      <c r="CU244"/>
      <c r="CV244"/>
      <c r="CW244"/>
      <c r="CX244"/>
      <c r="CY244"/>
      <c r="CZ244"/>
    </row>
    <row r="245" spans="33:104">
      <c r="AG245" s="1"/>
      <c r="AH245" s="1"/>
      <c r="AI245" s="1"/>
      <c r="AJ245" s="1"/>
      <c r="AR245" s="1"/>
      <c r="AS245" s="1"/>
      <c r="AT245" s="1"/>
      <c r="AV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T245"/>
      <c r="CU245"/>
      <c r="CV245"/>
      <c r="CW245"/>
      <c r="CX245"/>
      <c r="CY245"/>
      <c r="CZ245"/>
    </row>
    <row r="246" spans="33:104">
      <c r="AG246" s="1"/>
      <c r="AH246" s="1"/>
      <c r="AI246" s="1"/>
      <c r="AJ246" s="1"/>
      <c r="AR246" s="1"/>
      <c r="AS246" s="1"/>
      <c r="AT246" s="1"/>
      <c r="AV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T246"/>
      <c r="CU246"/>
      <c r="CV246"/>
      <c r="CW246"/>
      <c r="CX246"/>
      <c r="CY246"/>
      <c r="CZ246"/>
    </row>
    <row r="247" spans="33:104">
      <c r="AG247" s="1"/>
      <c r="AH247" s="1"/>
      <c r="AI247" s="1"/>
      <c r="AJ247" s="1"/>
      <c r="AR247" s="1"/>
      <c r="AS247" s="1"/>
      <c r="AT247" s="1"/>
      <c r="AV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T247"/>
      <c r="CU247"/>
      <c r="CV247"/>
      <c r="CW247"/>
      <c r="CX247"/>
      <c r="CY247"/>
      <c r="CZ247"/>
    </row>
    <row r="248" spans="33:104">
      <c r="AG248" s="1"/>
      <c r="AH248" s="1"/>
      <c r="AI248" s="1"/>
      <c r="AJ248" s="1"/>
      <c r="AR248" s="1"/>
      <c r="AS248" s="1"/>
      <c r="AT248" s="1"/>
      <c r="AV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T248"/>
      <c r="CU248"/>
      <c r="CV248"/>
      <c r="CW248"/>
      <c r="CX248"/>
      <c r="CY248"/>
      <c r="CZ248"/>
    </row>
    <row r="249" spans="33:104">
      <c r="AG249" s="1"/>
      <c r="AH249" s="1"/>
      <c r="AI249" s="1"/>
      <c r="AJ249" s="1"/>
      <c r="AR249" s="1"/>
      <c r="AS249" s="1"/>
      <c r="AT249" s="1"/>
      <c r="AV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T249"/>
      <c r="CU249"/>
      <c r="CV249"/>
      <c r="CW249"/>
      <c r="CX249"/>
      <c r="CY249"/>
      <c r="CZ249"/>
    </row>
    <row r="250" spans="33:104">
      <c r="AG250" s="1"/>
      <c r="AH250" s="1"/>
      <c r="AI250" s="1"/>
      <c r="AJ250" s="1"/>
      <c r="AR250" s="1"/>
      <c r="AS250" s="1"/>
      <c r="AT250" s="1"/>
      <c r="AV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T250"/>
      <c r="CU250"/>
      <c r="CV250"/>
      <c r="CW250"/>
      <c r="CX250"/>
      <c r="CY250"/>
      <c r="CZ250"/>
    </row>
    <row r="251" spans="33:104">
      <c r="AG251" s="1"/>
      <c r="AH251" s="1"/>
      <c r="AI251" s="1"/>
      <c r="AJ251" s="1"/>
      <c r="AR251" s="1"/>
      <c r="AS251" s="1"/>
      <c r="AT251" s="1"/>
      <c r="AV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T251"/>
      <c r="CU251"/>
      <c r="CV251"/>
      <c r="CW251"/>
      <c r="CX251"/>
      <c r="CY251"/>
      <c r="CZ251"/>
    </row>
    <row r="252" spans="33:104">
      <c r="AG252" s="1"/>
      <c r="AH252" s="1"/>
      <c r="AI252" s="1"/>
      <c r="AJ252" s="1"/>
      <c r="AR252" s="1"/>
      <c r="AS252" s="1"/>
      <c r="AT252" s="1"/>
      <c r="AV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T252"/>
      <c r="CU252"/>
      <c r="CV252"/>
      <c r="CW252"/>
      <c r="CX252"/>
      <c r="CY252"/>
      <c r="CZ252"/>
    </row>
    <row r="253" spans="33:104">
      <c r="AG253" s="1"/>
      <c r="AH253" s="1"/>
      <c r="AI253" s="1"/>
      <c r="AJ253" s="1"/>
      <c r="AR253" s="1"/>
      <c r="AS253" s="1"/>
      <c r="AT253" s="1"/>
      <c r="AV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T253"/>
      <c r="CU253"/>
      <c r="CV253"/>
      <c r="CW253"/>
      <c r="CX253"/>
      <c r="CY253"/>
      <c r="CZ253"/>
    </row>
    <row r="254" spans="33:104">
      <c r="AG254" s="1"/>
      <c r="AH254" s="1"/>
      <c r="AI254" s="1"/>
      <c r="AJ254" s="1"/>
      <c r="AR254" s="1"/>
      <c r="AS254" s="1"/>
      <c r="AT254" s="1"/>
      <c r="AV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T254"/>
      <c r="CU254"/>
      <c r="CV254"/>
      <c r="CW254"/>
      <c r="CX254"/>
      <c r="CY254"/>
      <c r="CZ254"/>
    </row>
    <row r="255" spans="33:104">
      <c r="AG255" s="1"/>
      <c r="AH255" s="1"/>
      <c r="AI255" s="1"/>
      <c r="AJ255" s="1"/>
      <c r="AR255" s="1"/>
      <c r="AS255" s="1"/>
      <c r="AT255" s="1"/>
      <c r="AV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T255"/>
      <c r="CU255"/>
      <c r="CV255"/>
      <c r="CW255"/>
      <c r="CX255"/>
      <c r="CY255"/>
      <c r="CZ255"/>
    </row>
    <row r="256" spans="33:104">
      <c r="AG256" s="1"/>
      <c r="AH256" s="1"/>
      <c r="AI256" s="1"/>
      <c r="AJ256" s="1"/>
      <c r="AR256" s="1"/>
      <c r="AS256" s="1"/>
      <c r="AT256" s="1"/>
      <c r="AV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T256"/>
      <c r="CU256"/>
      <c r="CV256"/>
      <c r="CW256"/>
      <c r="CX256"/>
      <c r="CY256"/>
      <c r="CZ256"/>
    </row>
    <row r="257" spans="33:104">
      <c r="AG257" s="1"/>
      <c r="AH257" s="1"/>
      <c r="AI257" s="1"/>
      <c r="AJ257" s="1"/>
      <c r="AR257" s="1"/>
      <c r="AS257" s="1"/>
      <c r="AT257" s="1"/>
      <c r="AV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T257"/>
      <c r="CU257"/>
      <c r="CV257"/>
      <c r="CW257"/>
      <c r="CX257"/>
      <c r="CY257"/>
      <c r="CZ257"/>
    </row>
    <row r="258" spans="33:104">
      <c r="AG258" s="1"/>
      <c r="AH258" s="1"/>
      <c r="AI258" s="1"/>
      <c r="AJ258" s="1"/>
      <c r="AR258" s="1"/>
      <c r="AS258" s="1"/>
      <c r="AT258" s="1"/>
      <c r="AV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T258"/>
      <c r="CU258"/>
      <c r="CV258"/>
      <c r="CW258"/>
      <c r="CX258"/>
      <c r="CY258"/>
      <c r="CZ258"/>
    </row>
    <row r="259" spans="33:104">
      <c r="AG259" s="1"/>
      <c r="AH259" s="1"/>
      <c r="AI259" s="1"/>
      <c r="AJ259" s="1"/>
      <c r="AR259" s="1"/>
      <c r="AS259" s="1"/>
      <c r="AT259" s="1"/>
      <c r="AV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T259"/>
      <c r="CU259"/>
      <c r="CV259"/>
      <c r="CW259"/>
      <c r="CX259"/>
      <c r="CY259"/>
      <c r="CZ259"/>
    </row>
    <row r="260" spans="33:104">
      <c r="AG260" s="1"/>
      <c r="AH260" s="1"/>
      <c r="AI260" s="1"/>
      <c r="AJ260" s="1"/>
      <c r="AR260" s="1"/>
      <c r="AS260" s="1"/>
      <c r="AT260" s="1"/>
      <c r="AV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T260"/>
      <c r="CU260"/>
      <c r="CV260"/>
      <c r="CW260"/>
      <c r="CX260"/>
      <c r="CY260"/>
      <c r="CZ260"/>
    </row>
    <row r="261" spans="33:104">
      <c r="AG261" s="1"/>
      <c r="AH261" s="1"/>
      <c r="AI261" s="1"/>
      <c r="AJ261" s="1"/>
      <c r="AR261" s="1"/>
      <c r="AS261" s="1"/>
      <c r="AT261" s="1"/>
      <c r="AV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T261"/>
      <c r="CU261"/>
      <c r="CV261"/>
      <c r="CW261"/>
      <c r="CX261"/>
      <c r="CY261"/>
      <c r="CZ261"/>
    </row>
    <row r="262" spans="33:104">
      <c r="AG262" s="1"/>
      <c r="AH262" s="1"/>
      <c r="AI262" s="1"/>
      <c r="AJ262" s="1"/>
      <c r="AR262" s="1"/>
      <c r="AS262" s="1"/>
      <c r="AT262" s="1"/>
      <c r="AV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T262"/>
      <c r="CU262"/>
      <c r="CV262"/>
      <c r="CW262"/>
      <c r="CX262"/>
      <c r="CY262"/>
      <c r="CZ262"/>
    </row>
    <row r="263" spans="33:104">
      <c r="AG263" s="1"/>
      <c r="AH263" s="1"/>
      <c r="AI263" s="1"/>
      <c r="AJ263" s="1"/>
      <c r="AR263" s="1"/>
      <c r="AS263" s="1"/>
      <c r="AT263" s="1"/>
      <c r="AV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T263"/>
      <c r="CU263"/>
      <c r="CV263"/>
      <c r="CW263"/>
      <c r="CX263"/>
      <c r="CY263"/>
      <c r="CZ263"/>
    </row>
    <row r="264" spans="33:104">
      <c r="AG264" s="1"/>
      <c r="AH264" s="1"/>
      <c r="AI264" s="1"/>
      <c r="AJ264" s="1"/>
      <c r="AR264" s="1"/>
      <c r="AS264" s="1"/>
      <c r="AT264" s="1"/>
      <c r="AV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T264"/>
      <c r="CU264"/>
      <c r="CV264"/>
      <c r="CW264"/>
      <c r="CX264"/>
      <c r="CY264"/>
      <c r="CZ264"/>
    </row>
    <row r="265" spans="33:104">
      <c r="AG265" s="1"/>
      <c r="AH265" s="1"/>
      <c r="AI265" s="1"/>
      <c r="AJ265" s="1"/>
      <c r="AR265" s="1"/>
      <c r="AS265" s="1"/>
      <c r="AT265" s="1"/>
      <c r="AV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T265"/>
      <c r="CU265"/>
      <c r="CV265"/>
      <c r="CW265"/>
      <c r="CX265"/>
      <c r="CY265"/>
      <c r="CZ265"/>
    </row>
    <row r="266" spans="33:104">
      <c r="AG266" s="1"/>
      <c r="AH266" s="1"/>
      <c r="AI266" s="1"/>
      <c r="AJ266" s="1"/>
      <c r="AR266" s="1"/>
      <c r="AS266" s="1"/>
      <c r="AT266" s="1"/>
      <c r="AV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T266"/>
      <c r="CU266"/>
      <c r="CV266"/>
      <c r="CW266"/>
      <c r="CX266"/>
      <c r="CY266"/>
      <c r="CZ266"/>
    </row>
    <row r="267" spans="33:104">
      <c r="AG267" s="1"/>
      <c r="AH267" s="1"/>
      <c r="AI267" s="1"/>
      <c r="AJ267" s="1"/>
      <c r="AR267" s="1"/>
      <c r="AS267" s="1"/>
      <c r="AT267" s="1"/>
      <c r="AV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T267"/>
      <c r="CU267"/>
      <c r="CV267"/>
      <c r="CW267"/>
      <c r="CX267"/>
      <c r="CY267"/>
      <c r="CZ267"/>
    </row>
    <row r="268" spans="33:104">
      <c r="AG268" s="1"/>
      <c r="AH268" s="1"/>
      <c r="AI268" s="1"/>
      <c r="AJ268" s="1"/>
      <c r="AR268" s="1"/>
      <c r="AS268" s="1"/>
      <c r="AT268" s="1"/>
      <c r="AV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T268"/>
      <c r="CU268"/>
      <c r="CV268"/>
      <c r="CW268"/>
      <c r="CX268"/>
      <c r="CY268"/>
      <c r="CZ268"/>
    </row>
    <row r="269" spans="33:104">
      <c r="AG269" s="1"/>
      <c r="AH269" s="1"/>
      <c r="AI269" s="1"/>
      <c r="AJ269" s="1"/>
      <c r="AR269" s="1"/>
      <c r="AS269" s="1"/>
      <c r="AT269" s="1"/>
      <c r="AV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T269"/>
      <c r="CU269"/>
      <c r="CV269"/>
      <c r="CW269"/>
      <c r="CX269"/>
      <c r="CY269"/>
      <c r="CZ269"/>
    </row>
    <row r="270" spans="33:104">
      <c r="AG270" s="1"/>
      <c r="AH270" s="1"/>
      <c r="AI270" s="1"/>
      <c r="AJ270" s="1"/>
      <c r="AR270" s="1"/>
      <c r="AS270" s="1"/>
      <c r="AT270" s="1"/>
      <c r="AV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T270"/>
      <c r="CU270"/>
      <c r="CV270"/>
      <c r="CW270"/>
      <c r="CX270"/>
      <c r="CY270"/>
      <c r="CZ270"/>
    </row>
    <row r="271" spans="33:104">
      <c r="AG271" s="1"/>
      <c r="AH271" s="1"/>
      <c r="AI271" s="1"/>
      <c r="AJ271" s="1"/>
      <c r="AR271" s="1"/>
      <c r="AS271" s="1"/>
      <c r="AT271" s="1"/>
      <c r="AV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T271"/>
      <c r="CU271"/>
      <c r="CV271"/>
      <c r="CW271"/>
      <c r="CX271"/>
      <c r="CY271"/>
      <c r="CZ271"/>
    </row>
    <row r="272" spans="33:104">
      <c r="AG272" s="1"/>
      <c r="AH272" s="1"/>
      <c r="AI272" s="1"/>
      <c r="AJ272" s="1"/>
      <c r="AR272" s="1"/>
      <c r="AS272" s="1"/>
      <c r="AT272" s="1"/>
      <c r="AV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T272"/>
      <c r="CU272"/>
      <c r="CV272"/>
      <c r="CW272"/>
      <c r="CX272"/>
      <c r="CY272"/>
      <c r="CZ272"/>
    </row>
    <row r="273" spans="33:104">
      <c r="AG273" s="1"/>
      <c r="AH273" s="1"/>
      <c r="AI273" s="1"/>
      <c r="AJ273" s="1"/>
      <c r="AR273" s="1"/>
      <c r="AS273" s="1"/>
      <c r="AT273" s="1"/>
      <c r="AV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T273"/>
      <c r="CU273"/>
      <c r="CV273"/>
      <c r="CW273"/>
      <c r="CX273"/>
      <c r="CY273"/>
      <c r="CZ273"/>
    </row>
    <row r="274" spans="33:104">
      <c r="AG274" s="1"/>
      <c r="AH274" s="1"/>
      <c r="AI274" s="1"/>
      <c r="AJ274" s="1"/>
      <c r="AR274" s="1"/>
      <c r="AS274" s="1"/>
      <c r="AT274" s="1"/>
      <c r="AV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T274"/>
      <c r="CU274"/>
      <c r="CV274"/>
      <c r="CW274"/>
      <c r="CX274"/>
      <c r="CY274"/>
      <c r="CZ274"/>
    </row>
    <row r="275" spans="33:104">
      <c r="AG275" s="1"/>
      <c r="AH275" s="1"/>
      <c r="AI275" s="1"/>
      <c r="AJ275" s="1"/>
      <c r="AR275" s="1"/>
      <c r="AS275" s="1"/>
      <c r="AT275" s="1"/>
      <c r="AV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T275"/>
      <c r="CU275"/>
      <c r="CV275"/>
      <c r="CW275"/>
      <c r="CX275"/>
      <c r="CY275"/>
      <c r="CZ275"/>
    </row>
    <row r="276" spans="33:104">
      <c r="AG276" s="1"/>
      <c r="AH276" s="1"/>
      <c r="AI276" s="1"/>
      <c r="AJ276" s="1"/>
      <c r="AR276" s="1"/>
      <c r="AS276" s="1"/>
      <c r="AT276" s="1"/>
      <c r="AV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T276"/>
      <c r="CU276"/>
      <c r="CV276"/>
      <c r="CW276"/>
      <c r="CX276"/>
      <c r="CY276"/>
      <c r="CZ276"/>
    </row>
    <row r="277" spans="33:104">
      <c r="AG277" s="1"/>
      <c r="AH277" s="1"/>
      <c r="AI277" s="1"/>
      <c r="AJ277" s="1"/>
      <c r="AR277" s="1"/>
      <c r="AS277" s="1"/>
      <c r="AT277" s="1"/>
      <c r="AV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T277"/>
      <c r="CU277"/>
      <c r="CV277"/>
      <c r="CW277"/>
      <c r="CX277"/>
      <c r="CY277"/>
      <c r="CZ277"/>
    </row>
    <row r="278" spans="33:104">
      <c r="AG278" s="1"/>
      <c r="AH278" s="1"/>
      <c r="AI278" s="1"/>
      <c r="AJ278" s="1"/>
      <c r="AR278" s="1"/>
      <c r="AS278" s="1"/>
      <c r="AT278" s="1"/>
      <c r="AV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T278"/>
      <c r="CU278"/>
      <c r="CV278"/>
      <c r="CW278"/>
      <c r="CX278"/>
      <c r="CY278"/>
      <c r="CZ278"/>
    </row>
    <row r="279" spans="33:104">
      <c r="AG279" s="1"/>
      <c r="AH279" s="1"/>
      <c r="AI279" s="1"/>
      <c r="AJ279" s="1"/>
      <c r="AR279" s="1"/>
      <c r="AS279" s="1"/>
      <c r="AT279" s="1"/>
      <c r="AV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T279"/>
      <c r="CU279"/>
      <c r="CV279"/>
      <c r="CW279"/>
      <c r="CX279"/>
      <c r="CY279"/>
      <c r="CZ279"/>
    </row>
    <row r="280" spans="33:104">
      <c r="AG280" s="1"/>
      <c r="AH280" s="1"/>
      <c r="AI280" s="1"/>
      <c r="AJ280" s="1"/>
      <c r="AR280" s="1"/>
      <c r="AS280" s="1"/>
      <c r="AT280" s="1"/>
      <c r="AV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T280"/>
      <c r="CU280"/>
      <c r="CV280"/>
      <c r="CW280"/>
      <c r="CX280"/>
      <c r="CY280"/>
      <c r="CZ280"/>
    </row>
    <row r="281" spans="33:104">
      <c r="AG281" s="1"/>
      <c r="AH281" s="1"/>
      <c r="AI281" s="1"/>
      <c r="AJ281" s="1"/>
      <c r="AR281" s="1"/>
      <c r="AS281" s="1"/>
      <c r="AT281" s="1"/>
      <c r="AV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T281"/>
      <c r="CU281"/>
      <c r="CV281"/>
      <c r="CW281"/>
      <c r="CX281"/>
      <c r="CY281"/>
      <c r="CZ281"/>
    </row>
    <row r="282" spans="33:104">
      <c r="AG282" s="1"/>
      <c r="AH282" s="1"/>
      <c r="AI282" s="1"/>
      <c r="AJ282" s="1"/>
      <c r="AR282" s="1"/>
      <c r="AS282" s="1"/>
      <c r="AT282" s="1"/>
      <c r="AV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T282"/>
      <c r="CU282"/>
      <c r="CV282"/>
      <c r="CW282"/>
      <c r="CX282"/>
      <c r="CY282"/>
      <c r="CZ282"/>
    </row>
    <row r="283" spans="33:104">
      <c r="AG283" s="1"/>
      <c r="AH283" s="1"/>
      <c r="AI283" s="1"/>
      <c r="AJ283" s="1"/>
      <c r="AR283" s="1"/>
      <c r="AS283" s="1"/>
      <c r="AT283" s="1"/>
      <c r="AV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T283"/>
      <c r="CU283"/>
      <c r="CV283"/>
      <c r="CW283"/>
      <c r="CX283"/>
      <c r="CY283"/>
      <c r="CZ283"/>
    </row>
    <row r="284" spans="33:104">
      <c r="AG284" s="1"/>
      <c r="AH284" s="1"/>
      <c r="AI284" s="1"/>
      <c r="AJ284" s="1"/>
      <c r="AR284" s="1"/>
      <c r="AS284" s="1"/>
      <c r="AT284" s="1"/>
      <c r="AV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T284"/>
      <c r="CU284"/>
      <c r="CV284"/>
      <c r="CW284"/>
      <c r="CX284"/>
      <c r="CY284"/>
      <c r="CZ284"/>
    </row>
    <row r="285" spans="33:104">
      <c r="AG285" s="1"/>
      <c r="AH285" s="1"/>
      <c r="AI285" s="1"/>
      <c r="AJ285" s="1"/>
      <c r="AR285" s="1"/>
      <c r="AS285" s="1"/>
      <c r="AT285" s="1"/>
      <c r="AV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T285"/>
      <c r="CU285"/>
      <c r="CV285"/>
      <c r="CW285"/>
      <c r="CX285"/>
      <c r="CY285"/>
      <c r="CZ285"/>
    </row>
    <row r="286" spans="33:104">
      <c r="AG286" s="1"/>
      <c r="AH286" s="1"/>
      <c r="AI286" s="1"/>
      <c r="AJ286" s="1"/>
      <c r="AR286" s="1"/>
      <c r="AS286" s="1"/>
      <c r="AT286" s="1"/>
      <c r="AV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T286"/>
      <c r="CU286"/>
      <c r="CV286"/>
      <c r="CW286"/>
      <c r="CX286"/>
      <c r="CY286"/>
      <c r="CZ286"/>
    </row>
    <row r="287" spans="33:104">
      <c r="AG287" s="1"/>
      <c r="AH287" s="1"/>
      <c r="AI287" s="1"/>
      <c r="AJ287" s="1"/>
      <c r="AR287" s="1"/>
      <c r="AS287" s="1"/>
      <c r="AT287" s="1"/>
      <c r="AV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T287"/>
      <c r="CU287"/>
      <c r="CV287"/>
      <c r="CW287"/>
      <c r="CX287"/>
      <c r="CY287"/>
      <c r="CZ287"/>
    </row>
    <row r="288" spans="33:104">
      <c r="AG288" s="1"/>
      <c r="AH288" s="1"/>
      <c r="AI288" s="1"/>
      <c r="AJ288" s="1"/>
      <c r="AR288" s="1"/>
      <c r="AS288" s="1"/>
      <c r="AT288" s="1"/>
      <c r="AV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T288"/>
      <c r="CU288"/>
      <c r="CV288"/>
      <c r="CW288"/>
      <c r="CX288"/>
      <c r="CY288"/>
      <c r="CZ288"/>
    </row>
    <row r="289" spans="33:104">
      <c r="AG289" s="1"/>
      <c r="AH289" s="1"/>
      <c r="AI289" s="1"/>
      <c r="AJ289" s="1"/>
      <c r="AR289" s="1"/>
      <c r="AS289" s="1"/>
      <c r="AT289" s="1"/>
      <c r="AV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T289"/>
      <c r="CU289"/>
      <c r="CV289"/>
      <c r="CW289"/>
      <c r="CX289"/>
      <c r="CY289"/>
      <c r="CZ289"/>
    </row>
    <row r="290" spans="33:104">
      <c r="AG290" s="1"/>
      <c r="AH290" s="1"/>
      <c r="AI290" s="1"/>
      <c r="AJ290" s="1"/>
      <c r="AR290" s="1"/>
      <c r="AS290" s="1"/>
      <c r="AT290" s="1"/>
      <c r="AV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T290"/>
      <c r="CU290"/>
      <c r="CV290"/>
      <c r="CW290"/>
      <c r="CX290"/>
      <c r="CY290"/>
      <c r="CZ290"/>
    </row>
    <row r="291" spans="33:104">
      <c r="AG291" s="1"/>
      <c r="AH291" s="1"/>
      <c r="AI291" s="1"/>
      <c r="AJ291" s="1"/>
      <c r="AR291" s="1"/>
      <c r="AS291" s="1"/>
      <c r="AT291" s="1"/>
      <c r="AV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T291"/>
      <c r="CU291"/>
      <c r="CV291"/>
      <c r="CW291"/>
      <c r="CX291"/>
      <c r="CY291"/>
      <c r="CZ291"/>
    </row>
    <row r="292" spans="33:104">
      <c r="AG292" s="1"/>
      <c r="AH292" s="1"/>
      <c r="AI292" s="1"/>
      <c r="AJ292" s="1"/>
      <c r="AR292" s="1"/>
      <c r="AS292" s="1"/>
      <c r="AT292" s="1"/>
      <c r="AV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T292"/>
      <c r="CU292"/>
      <c r="CV292"/>
      <c r="CW292"/>
      <c r="CX292"/>
      <c r="CY292"/>
      <c r="CZ292"/>
    </row>
    <row r="293" spans="33:104">
      <c r="AG293" s="1"/>
      <c r="AH293" s="1"/>
      <c r="AI293" s="1"/>
      <c r="AJ293" s="1"/>
      <c r="AR293" s="1"/>
      <c r="AS293" s="1"/>
      <c r="AT293" s="1"/>
      <c r="AV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T293"/>
      <c r="CU293"/>
      <c r="CV293"/>
      <c r="CW293"/>
      <c r="CX293"/>
      <c r="CY293"/>
      <c r="CZ293"/>
    </row>
    <row r="294" spans="33:104">
      <c r="AG294" s="1"/>
      <c r="AH294" s="1"/>
      <c r="AI294" s="1"/>
      <c r="AJ294" s="1"/>
      <c r="AR294" s="1"/>
      <c r="AS294" s="1"/>
      <c r="AT294" s="1"/>
      <c r="AV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T294"/>
      <c r="CU294"/>
      <c r="CV294"/>
      <c r="CW294"/>
      <c r="CX294"/>
      <c r="CY294"/>
      <c r="CZ294"/>
    </row>
    <row r="295" spans="33:104">
      <c r="AG295" s="1"/>
      <c r="AH295" s="1"/>
      <c r="AI295" s="1"/>
      <c r="AJ295" s="1"/>
      <c r="AR295" s="1"/>
      <c r="AS295" s="1"/>
      <c r="AT295" s="1"/>
      <c r="AV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T295"/>
      <c r="CU295"/>
      <c r="CV295"/>
      <c r="CW295"/>
      <c r="CX295"/>
      <c r="CY295"/>
      <c r="CZ295"/>
    </row>
    <row r="296" spans="33:104">
      <c r="AG296" s="1"/>
      <c r="AH296" s="1"/>
      <c r="AI296" s="1"/>
      <c r="AJ296" s="1"/>
      <c r="AR296" s="1"/>
      <c r="AS296" s="1"/>
      <c r="AT296" s="1"/>
      <c r="AV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T296"/>
      <c r="CU296"/>
      <c r="CV296"/>
      <c r="CW296"/>
      <c r="CX296"/>
      <c r="CY296"/>
      <c r="CZ296"/>
    </row>
    <row r="297" spans="33:104">
      <c r="AG297" s="1"/>
      <c r="AH297" s="1"/>
      <c r="AI297" s="1"/>
      <c r="AJ297" s="1"/>
      <c r="AR297" s="1"/>
      <c r="AS297" s="1"/>
      <c r="AT297" s="1"/>
      <c r="AV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T297"/>
      <c r="CU297"/>
      <c r="CV297"/>
      <c r="CW297"/>
      <c r="CX297"/>
      <c r="CY297"/>
      <c r="CZ297"/>
    </row>
    <row r="298" spans="33:104">
      <c r="AG298" s="1"/>
      <c r="AH298" s="1"/>
      <c r="AI298" s="1"/>
      <c r="AJ298" s="1"/>
      <c r="AR298" s="1"/>
      <c r="AS298" s="1"/>
      <c r="AT298" s="1"/>
      <c r="AV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T298"/>
      <c r="CU298"/>
      <c r="CV298"/>
      <c r="CW298"/>
      <c r="CX298"/>
      <c r="CY298"/>
      <c r="CZ298"/>
    </row>
    <row r="299" spans="33:104">
      <c r="AG299" s="1"/>
      <c r="AH299" s="1"/>
      <c r="AI299" s="1"/>
      <c r="AJ299" s="1"/>
      <c r="AR299" s="1"/>
      <c r="AS299" s="1"/>
      <c r="AT299" s="1"/>
      <c r="AV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T299"/>
      <c r="CU299"/>
      <c r="CV299"/>
      <c r="CW299"/>
      <c r="CX299"/>
      <c r="CY299"/>
      <c r="CZ299"/>
    </row>
    <row r="300" spans="33:104">
      <c r="AG300" s="1"/>
      <c r="AH300" s="1"/>
      <c r="AI300" s="1"/>
      <c r="AJ300" s="1"/>
      <c r="AR300" s="1"/>
      <c r="AS300" s="1"/>
      <c r="AT300" s="1"/>
      <c r="AV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T300"/>
      <c r="CU300"/>
      <c r="CV300"/>
      <c r="CW300"/>
      <c r="CX300"/>
      <c r="CY300"/>
      <c r="CZ300"/>
    </row>
    <row r="301" spans="33:104">
      <c r="AG301" s="1"/>
      <c r="AH301" s="1"/>
      <c r="AI301" s="1"/>
      <c r="AJ301" s="1"/>
      <c r="AR301" s="1"/>
      <c r="AS301" s="1"/>
      <c r="AT301" s="1"/>
      <c r="AV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T301"/>
      <c r="CU301"/>
      <c r="CV301"/>
      <c r="CW301"/>
      <c r="CX301"/>
      <c r="CY301"/>
      <c r="CZ301"/>
    </row>
    <row r="302" spans="33:104">
      <c r="AG302" s="1"/>
      <c r="AH302" s="1"/>
      <c r="AI302" s="1"/>
      <c r="AJ302" s="1"/>
      <c r="AR302" s="1"/>
      <c r="AS302" s="1"/>
      <c r="AT302" s="1"/>
      <c r="AV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T302"/>
      <c r="CU302"/>
      <c r="CV302"/>
      <c r="CW302"/>
      <c r="CX302"/>
      <c r="CY302"/>
      <c r="CZ302"/>
    </row>
    <row r="303" spans="33:104">
      <c r="AG303" s="1"/>
      <c r="AH303" s="1"/>
      <c r="AI303" s="1"/>
      <c r="AJ303" s="1"/>
      <c r="AR303" s="1"/>
      <c r="AS303" s="1"/>
      <c r="AT303" s="1"/>
      <c r="AV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T303"/>
      <c r="CU303"/>
      <c r="CV303"/>
      <c r="CW303"/>
      <c r="CX303"/>
      <c r="CY303"/>
      <c r="CZ303"/>
    </row>
    <row r="304" spans="33:104">
      <c r="AG304" s="1"/>
      <c r="AH304" s="1"/>
      <c r="AI304" s="1"/>
      <c r="AJ304" s="1"/>
      <c r="AR304" s="1"/>
      <c r="AS304" s="1"/>
      <c r="AT304" s="1"/>
      <c r="AV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T304"/>
      <c r="CU304"/>
      <c r="CV304"/>
      <c r="CW304"/>
      <c r="CX304"/>
      <c r="CY304"/>
      <c r="CZ304"/>
    </row>
    <row r="305" spans="33:104">
      <c r="AG305" s="1"/>
      <c r="AH305" s="1"/>
      <c r="AI305" s="1"/>
      <c r="AJ305" s="1"/>
      <c r="AR305" s="1"/>
      <c r="AS305" s="1"/>
      <c r="AT305" s="1"/>
      <c r="AV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T305"/>
      <c r="CU305"/>
      <c r="CV305"/>
      <c r="CW305"/>
      <c r="CX305"/>
      <c r="CY305"/>
      <c r="CZ305"/>
    </row>
    <row r="306" spans="33:104">
      <c r="AG306" s="1"/>
      <c r="AH306" s="1"/>
      <c r="AI306" s="1"/>
      <c r="AJ306" s="1"/>
      <c r="AR306" s="1"/>
      <c r="AS306" s="1"/>
      <c r="AT306" s="1"/>
      <c r="AV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T306"/>
      <c r="CU306"/>
      <c r="CV306"/>
      <c r="CW306"/>
      <c r="CX306"/>
      <c r="CY306"/>
      <c r="CZ306"/>
    </row>
    <row r="307" spans="33:104">
      <c r="AG307" s="1"/>
      <c r="AH307" s="1"/>
      <c r="AI307" s="1"/>
      <c r="AJ307" s="1"/>
      <c r="AR307" s="1"/>
      <c r="AS307" s="1"/>
      <c r="AT307" s="1"/>
      <c r="AV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T307"/>
      <c r="CU307"/>
      <c r="CV307"/>
      <c r="CW307"/>
      <c r="CX307"/>
      <c r="CY307"/>
      <c r="CZ307"/>
    </row>
    <row r="308" spans="33:104">
      <c r="AG308" s="1"/>
      <c r="AH308" s="1"/>
      <c r="AI308" s="1"/>
      <c r="AJ308" s="1"/>
      <c r="AR308" s="1"/>
      <c r="AS308" s="1"/>
      <c r="AT308" s="1"/>
      <c r="AV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T308"/>
      <c r="CU308"/>
      <c r="CV308"/>
      <c r="CW308"/>
      <c r="CX308"/>
      <c r="CY308"/>
      <c r="CZ308"/>
    </row>
    <row r="309" spans="33:104">
      <c r="AG309" s="1"/>
      <c r="AH309" s="1"/>
      <c r="AI309" s="1"/>
      <c r="AJ309" s="1"/>
      <c r="AR309" s="1"/>
      <c r="AS309" s="1"/>
      <c r="AT309" s="1"/>
      <c r="AV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T309"/>
      <c r="CU309"/>
      <c r="CV309"/>
      <c r="CW309"/>
      <c r="CX309"/>
      <c r="CY309"/>
      <c r="CZ309"/>
    </row>
    <row r="310" spans="33:104">
      <c r="AG310" s="1"/>
      <c r="AH310" s="1"/>
      <c r="AI310" s="1"/>
      <c r="AJ310" s="1"/>
      <c r="AR310" s="1"/>
      <c r="AS310" s="1"/>
      <c r="AT310" s="1"/>
      <c r="AV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T310"/>
      <c r="CU310"/>
      <c r="CV310"/>
      <c r="CW310"/>
      <c r="CX310"/>
      <c r="CY310"/>
      <c r="CZ310"/>
    </row>
    <row r="311" spans="33:104">
      <c r="AG311" s="1"/>
      <c r="AH311" s="1"/>
      <c r="AI311" s="1"/>
      <c r="AJ311" s="1"/>
      <c r="AR311" s="1"/>
      <c r="AS311" s="1"/>
      <c r="AT311" s="1"/>
      <c r="AV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T311"/>
      <c r="CU311"/>
      <c r="CV311"/>
      <c r="CW311"/>
      <c r="CX311"/>
      <c r="CY311"/>
      <c r="CZ311"/>
    </row>
    <row r="312" spans="33:104">
      <c r="AG312" s="1"/>
      <c r="AH312" s="1"/>
      <c r="AI312" s="1"/>
      <c r="AJ312" s="1"/>
      <c r="AR312" s="1"/>
      <c r="AS312" s="1"/>
      <c r="AT312" s="1"/>
      <c r="AV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T312"/>
      <c r="CU312"/>
      <c r="CV312"/>
      <c r="CW312"/>
      <c r="CX312"/>
      <c r="CY312"/>
      <c r="CZ312"/>
    </row>
    <row r="313" spans="33:104">
      <c r="AG313" s="1"/>
      <c r="AH313" s="1"/>
      <c r="AI313" s="1"/>
      <c r="AJ313" s="1"/>
      <c r="AR313" s="1"/>
      <c r="AS313" s="1"/>
      <c r="AT313" s="1"/>
      <c r="AV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T313"/>
      <c r="CU313"/>
      <c r="CV313"/>
      <c r="CW313"/>
      <c r="CX313"/>
      <c r="CY313"/>
      <c r="CZ313"/>
    </row>
    <row r="314" spans="33:104">
      <c r="AG314" s="1"/>
      <c r="AH314" s="1"/>
      <c r="AI314" s="1"/>
      <c r="AJ314" s="1"/>
      <c r="AR314" s="1"/>
      <c r="AS314" s="1"/>
      <c r="AT314" s="1"/>
      <c r="AV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T314"/>
      <c r="CU314"/>
      <c r="CV314"/>
      <c r="CW314"/>
      <c r="CX314"/>
      <c r="CY314"/>
      <c r="CZ314"/>
    </row>
    <row r="315" spans="33:104">
      <c r="AG315" s="1"/>
      <c r="AH315" s="1"/>
      <c r="AI315" s="1"/>
      <c r="AJ315" s="1"/>
      <c r="AR315" s="1"/>
      <c r="AS315" s="1"/>
      <c r="AT315" s="1"/>
      <c r="AV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T315"/>
      <c r="CU315"/>
      <c r="CV315"/>
      <c r="CW315"/>
      <c r="CX315"/>
      <c r="CY315"/>
      <c r="CZ315"/>
    </row>
    <row r="316" spans="33:104">
      <c r="AG316" s="1"/>
      <c r="AH316" s="1"/>
      <c r="AI316" s="1"/>
      <c r="AJ316" s="1"/>
      <c r="AR316" s="1"/>
      <c r="AS316" s="1"/>
      <c r="AT316" s="1"/>
      <c r="AV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T316"/>
      <c r="CU316"/>
      <c r="CV316"/>
      <c r="CW316"/>
      <c r="CX316"/>
      <c r="CY316"/>
      <c r="CZ316"/>
    </row>
    <row r="317" spans="33:104">
      <c r="AG317" s="1"/>
      <c r="AH317" s="1"/>
      <c r="AI317" s="1"/>
      <c r="AJ317" s="1"/>
      <c r="AR317" s="1"/>
      <c r="AS317" s="1"/>
      <c r="AT317" s="1"/>
      <c r="AV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T317"/>
      <c r="CU317"/>
      <c r="CV317"/>
      <c r="CW317"/>
      <c r="CX317"/>
      <c r="CY317"/>
      <c r="CZ317"/>
    </row>
    <row r="318" spans="33:104">
      <c r="AG318" s="1"/>
      <c r="AH318" s="1"/>
      <c r="AI318" s="1"/>
      <c r="AJ318" s="1"/>
      <c r="AR318" s="1"/>
      <c r="AS318" s="1"/>
      <c r="AT318" s="1"/>
      <c r="AV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T318"/>
      <c r="CU318"/>
      <c r="CV318"/>
      <c r="CW318"/>
      <c r="CX318"/>
      <c r="CY318"/>
      <c r="CZ318"/>
    </row>
    <row r="319" spans="33:104">
      <c r="AG319" s="1"/>
      <c r="AH319" s="1"/>
      <c r="AI319" s="1"/>
      <c r="AJ319" s="1"/>
      <c r="AR319" s="1"/>
      <c r="AS319" s="1"/>
      <c r="AT319" s="1"/>
      <c r="AV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T319"/>
      <c r="CU319"/>
      <c r="CV319"/>
      <c r="CW319"/>
      <c r="CX319"/>
      <c r="CY319"/>
      <c r="CZ319"/>
    </row>
    <row r="320" spans="33:104">
      <c r="AG320" s="1"/>
      <c r="AH320" s="1"/>
      <c r="AI320" s="1"/>
      <c r="AJ320" s="1"/>
      <c r="AR320" s="1"/>
      <c r="AS320" s="1"/>
      <c r="AT320" s="1"/>
      <c r="AV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T320"/>
      <c r="CU320"/>
      <c r="CV320"/>
      <c r="CW320"/>
      <c r="CX320"/>
      <c r="CY320"/>
      <c r="CZ320"/>
    </row>
    <row r="321" spans="33:104">
      <c r="AG321" s="1"/>
      <c r="AH321" s="1"/>
      <c r="AI321" s="1"/>
      <c r="AJ321" s="1"/>
      <c r="AR321" s="1"/>
      <c r="AS321" s="1"/>
      <c r="AT321" s="1"/>
      <c r="AV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T321"/>
      <c r="CU321"/>
      <c r="CV321"/>
      <c r="CW321"/>
      <c r="CX321"/>
      <c r="CY321"/>
      <c r="CZ321"/>
    </row>
    <row r="322" spans="33:104">
      <c r="AG322" s="1"/>
      <c r="AH322" s="1"/>
      <c r="AI322" s="1"/>
      <c r="AJ322" s="1"/>
      <c r="AR322" s="1"/>
      <c r="AS322" s="1"/>
      <c r="AT322" s="1"/>
      <c r="AV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T322"/>
      <c r="CU322"/>
      <c r="CV322"/>
      <c r="CW322"/>
      <c r="CX322"/>
      <c r="CY322"/>
      <c r="CZ322"/>
    </row>
    <row r="323" spans="33:104">
      <c r="AG323" s="1"/>
      <c r="AH323" s="1"/>
      <c r="AI323" s="1"/>
      <c r="AJ323" s="1"/>
      <c r="AR323" s="1"/>
      <c r="AS323" s="1"/>
      <c r="AT323" s="1"/>
      <c r="AV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T323"/>
      <c r="CU323"/>
      <c r="CV323"/>
      <c r="CW323"/>
      <c r="CX323"/>
      <c r="CY323"/>
      <c r="CZ323"/>
    </row>
    <row r="324" spans="33:104">
      <c r="AG324" s="1"/>
      <c r="AH324" s="1"/>
      <c r="AI324" s="1"/>
      <c r="AJ324" s="1"/>
      <c r="AR324" s="1"/>
      <c r="AS324" s="1"/>
      <c r="AT324" s="1"/>
      <c r="AV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T324"/>
      <c r="CU324"/>
      <c r="CV324"/>
      <c r="CW324"/>
      <c r="CX324"/>
      <c r="CY324"/>
      <c r="CZ324"/>
    </row>
    <row r="325" spans="33:104">
      <c r="AG325" s="1"/>
      <c r="AH325" s="1"/>
      <c r="AI325" s="1"/>
      <c r="AJ325" s="1"/>
      <c r="AR325" s="1"/>
      <c r="AS325" s="1"/>
      <c r="AT325" s="1"/>
      <c r="AV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T325"/>
      <c r="CU325"/>
      <c r="CV325"/>
      <c r="CW325"/>
      <c r="CX325"/>
      <c r="CY325"/>
      <c r="CZ325"/>
    </row>
    <row r="326" spans="33:104">
      <c r="AG326" s="1"/>
      <c r="AH326" s="1"/>
      <c r="AI326" s="1"/>
      <c r="AJ326" s="1"/>
      <c r="AR326" s="1"/>
      <c r="AS326" s="1"/>
      <c r="AT326" s="1"/>
      <c r="AV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T326"/>
      <c r="CU326"/>
      <c r="CV326"/>
      <c r="CW326"/>
      <c r="CX326"/>
      <c r="CY326"/>
      <c r="CZ326"/>
    </row>
    <row r="327" spans="33:104">
      <c r="AG327" s="1"/>
      <c r="AH327" s="1"/>
      <c r="AI327" s="1"/>
      <c r="AJ327" s="1"/>
      <c r="AR327" s="1"/>
      <c r="AS327" s="1"/>
      <c r="AT327" s="1"/>
      <c r="AV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T327"/>
      <c r="CU327"/>
      <c r="CV327"/>
      <c r="CW327"/>
      <c r="CX327"/>
      <c r="CY327"/>
      <c r="CZ327"/>
    </row>
    <row r="328" spans="33:104">
      <c r="AG328" s="1"/>
      <c r="AH328" s="1"/>
      <c r="AI328" s="1"/>
      <c r="AJ328" s="1"/>
      <c r="AR328" s="1"/>
      <c r="AS328" s="1"/>
      <c r="AT328" s="1"/>
      <c r="AV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T328"/>
      <c r="CU328"/>
      <c r="CV328"/>
      <c r="CW328"/>
      <c r="CX328"/>
      <c r="CY328"/>
      <c r="CZ328"/>
    </row>
    <row r="329" spans="33:104">
      <c r="AG329" s="1"/>
      <c r="AH329" s="1"/>
      <c r="AI329" s="1"/>
      <c r="AJ329" s="1"/>
      <c r="AR329" s="1"/>
      <c r="AS329" s="1"/>
      <c r="AT329" s="1"/>
      <c r="AV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T329"/>
      <c r="CU329"/>
      <c r="CV329"/>
      <c r="CW329"/>
      <c r="CX329"/>
      <c r="CY329"/>
      <c r="CZ329"/>
    </row>
    <row r="330" spans="33:104">
      <c r="AG330" s="1"/>
      <c r="AH330" s="1"/>
      <c r="AI330" s="1"/>
      <c r="AJ330" s="1"/>
      <c r="AR330" s="1"/>
      <c r="AS330" s="1"/>
      <c r="AT330" s="1"/>
      <c r="AV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T330"/>
      <c r="CU330"/>
      <c r="CV330"/>
      <c r="CW330"/>
      <c r="CX330"/>
      <c r="CY330"/>
      <c r="CZ330"/>
    </row>
    <row r="331" spans="33:104">
      <c r="AG331" s="1"/>
      <c r="AH331" s="1"/>
      <c r="AI331" s="1"/>
      <c r="AJ331" s="1"/>
      <c r="AR331" s="1"/>
      <c r="AS331" s="1"/>
      <c r="AT331" s="1"/>
      <c r="AV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T331"/>
      <c r="CU331"/>
      <c r="CV331"/>
      <c r="CW331"/>
      <c r="CX331"/>
      <c r="CY331"/>
      <c r="CZ331"/>
    </row>
    <row r="332" spans="33:104">
      <c r="AG332" s="1"/>
      <c r="AH332" s="1"/>
      <c r="AI332" s="1"/>
      <c r="AJ332" s="1"/>
      <c r="AR332" s="1"/>
      <c r="AS332" s="1"/>
      <c r="AT332" s="1"/>
      <c r="AV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T332"/>
      <c r="CU332"/>
      <c r="CV332"/>
      <c r="CW332"/>
      <c r="CX332"/>
      <c r="CY332"/>
      <c r="CZ332"/>
    </row>
    <row r="333" spans="33:104">
      <c r="AG333" s="1"/>
      <c r="AH333" s="1"/>
      <c r="AI333" s="1"/>
      <c r="AJ333" s="1"/>
      <c r="AR333" s="1"/>
      <c r="AS333" s="1"/>
      <c r="AT333" s="1"/>
      <c r="AV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T333"/>
      <c r="CU333"/>
      <c r="CV333"/>
      <c r="CW333"/>
      <c r="CX333"/>
      <c r="CY333"/>
      <c r="CZ333"/>
    </row>
    <row r="334" spans="33:104">
      <c r="AG334" s="1"/>
      <c r="AH334" s="1"/>
      <c r="AI334" s="1"/>
      <c r="AJ334" s="1"/>
      <c r="AR334" s="1"/>
      <c r="AS334" s="1"/>
      <c r="AT334" s="1"/>
      <c r="AV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T334"/>
      <c r="CU334"/>
      <c r="CV334"/>
      <c r="CW334"/>
      <c r="CX334"/>
      <c r="CY334"/>
      <c r="CZ334"/>
    </row>
    <row r="335" spans="33:104">
      <c r="AG335" s="1"/>
      <c r="AH335" s="1"/>
      <c r="AI335" s="1"/>
      <c r="AJ335" s="1"/>
      <c r="AR335" s="1"/>
      <c r="AS335" s="1"/>
      <c r="AT335" s="1"/>
      <c r="AV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T335"/>
      <c r="CU335"/>
      <c r="CV335"/>
      <c r="CW335"/>
      <c r="CX335"/>
      <c r="CY335"/>
      <c r="CZ335"/>
    </row>
    <row r="336" spans="33:104">
      <c r="AG336" s="1"/>
      <c r="AH336" s="1"/>
      <c r="AI336" s="1"/>
      <c r="AJ336" s="1"/>
      <c r="AR336" s="1"/>
      <c r="AS336" s="1"/>
      <c r="AT336" s="1"/>
      <c r="AV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T336"/>
      <c r="CU336"/>
      <c r="CV336"/>
      <c r="CW336"/>
      <c r="CX336"/>
      <c r="CY336"/>
      <c r="CZ336"/>
    </row>
    <row r="337" spans="33:104">
      <c r="AG337" s="1"/>
      <c r="AH337" s="1"/>
      <c r="AI337" s="1"/>
      <c r="AJ337" s="1"/>
      <c r="AR337" s="1"/>
      <c r="AS337" s="1"/>
      <c r="AT337" s="1"/>
      <c r="AV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T337"/>
      <c r="CU337"/>
      <c r="CV337"/>
      <c r="CW337"/>
      <c r="CX337"/>
      <c r="CY337"/>
      <c r="CZ337"/>
    </row>
    <row r="338" spans="33:104">
      <c r="AG338" s="1"/>
      <c r="AH338" s="1"/>
      <c r="AI338" s="1"/>
      <c r="AJ338" s="1"/>
      <c r="AR338" s="1"/>
      <c r="AS338" s="1"/>
      <c r="AT338" s="1"/>
      <c r="AV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T338"/>
      <c r="CU338"/>
      <c r="CV338"/>
      <c r="CW338"/>
      <c r="CX338"/>
      <c r="CY338"/>
      <c r="CZ338"/>
    </row>
    <row r="339" spans="33:104">
      <c r="AG339" s="1"/>
      <c r="AH339" s="1"/>
      <c r="AI339" s="1"/>
      <c r="AJ339" s="1"/>
      <c r="AR339" s="1"/>
      <c r="AS339" s="1"/>
      <c r="AT339" s="1"/>
      <c r="AV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T339"/>
      <c r="CU339"/>
      <c r="CV339"/>
      <c r="CW339"/>
      <c r="CX339"/>
      <c r="CY339"/>
      <c r="CZ339"/>
    </row>
    <row r="340" spans="33:104">
      <c r="AG340" s="1"/>
      <c r="AH340" s="1"/>
      <c r="AI340" s="1"/>
      <c r="AJ340" s="1"/>
      <c r="AR340" s="1"/>
      <c r="AS340" s="1"/>
      <c r="AT340" s="1"/>
      <c r="AV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T340"/>
      <c r="CU340"/>
      <c r="CV340"/>
      <c r="CW340"/>
      <c r="CX340"/>
      <c r="CY340"/>
      <c r="CZ340"/>
    </row>
    <row r="341" spans="33:104">
      <c r="AG341" s="1"/>
      <c r="AH341" s="1"/>
      <c r="AI341" s="1"/>
      <c r="AJ341" s="1"/>
      <c r="AR341" s="1"/>
      <c r="AS341" s="1"/>
      <c r="AT341" s="1"/>
      <c r="AV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T341"/>
      <c r="CU341"/>
      <c r="CV341"/>
      <c r="CW341"/>
      <c r="CX341"/>
      <c r="CY341"/>
      <c r="CZ341"/>
    </row>
    <row r="342" spans="33:104">
      <c r="AG342" s="1"/>
      <c r="AH342" s="1"/>
      <c r="AI342" s="1"/>
      <c r="AJ342" s="1"/>
      <c r="AR342" s="1"/>
      <c r="AS342" s="1"/>
      <c r="AT342" s="1"/>
      <c r="AV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T342"/>
      <c r="CU342"/>
      <c r="CV342"/>
      <c r="CW342"/>
      <c r="CX342"/>
      <c r="CY342"/>
      <c r="CZ342"/>
    </row>
    <row r="343" spans="33:104">
      <c r="AG343" s="1"/>
      <c r="AH343" s="1"/>
      <c r="AI343" s="1"/>
      <c r="AJ343" s="1"/>
      <c r="AR343" s="1"/>
      <c r="AS343" s="1"/>
      <c r="AT343" s="1"/>
      <c r="AV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T343"/>
      <c r="CU343"/>
      <c r="CV343"/>
      <c r="CW343"/>
      <c r="CX343"/>
      <c r="CY343"/>
      <c r="CZ343"/>
    </row>
    <row r="344" spans="33:104">
      <c r="AG344" s="1"/>
      <c r="AH344" s="1"/>
      <c r="AI344" s="1"/>
      <c r="AJ344" s="1"/>
      <c r="AR344" s="1"/>
      <c r="AS344" s="1"/>
      <c r="AT344" s="1"/>
      <c r="AV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T344"/>
      <c r="CU344"/>
      <c r="CV344"/>
      <c r="CW344"/>
      <c r="CX344"/>
      <c r="CY344"/>
      <c r="CZ344"/>
    </row>
    <row r="345" spans="33:104">
      <c r="AG345" s="1"/>
      <c r="AH345" s="1"/>
      <c r="AI345" s="1"/>
      <c r="AJ345" s="1"/>
      <c r="AR345" s="1"/>
      <c r="AS345" s="1"/>
      <c r="AT345" s="1"/>
      <c r="AV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T345"/>
      <c r="CU345"/>
      <c r="CV345"/>
      <c r="CW345"/>
      <c r="CX345"/>
      <c r="CY345"/>
      <c r="CZ345"/>
    </row>
    <row r="346" spans="33:104">
      <c r="AG346" s="1"/>
      <c r="AH346" s="1"/>
      <c r="AI346" s="1"/>
      <c r="AJ346" s="1"/>
      <c r="AR346" s="1"/>
      <c r="AS346" s="1"/>
      <c r="AT346" s="1"/>
      <c r="AV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T346"/>
      <c r="CU346"/>
      <c r="CV346"/>
      <c r="CW346"/>
      <c r="CX346"/>
      <c r="CY346"/>
      <c r="CZ346"/>
    </row>
    <row r="347" spans="33:104">
      <c r="AG347" s="1"/>
      <c r="AH347" s="1"/>
      <c r="AI347" s="1"/>
      <c r="AJ347" s="1"/>
      <c r="AR347" s="1"/>
      <c r="AS347" s="1"/>
      <c r="AT347" s="1"/>
      <c r="AV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T347"/>
      <c r="CU347"/>
      <c r="CV347"/>
      <c r="CW347"/>
      <c r="CX347"/>
      <c r="CY347"/>
      <c r="CZ347"/>
    </row>
    <row r="348" spans="33:104">
      <c r="AG348" s="1"/>
      <c r="AH348" s="1"/>
      <c r="AI348" s="1"/>
      <c r="AJ348" s="1"/>
      <c r="AR348" s="1"/>
      <c r="AS348" s="1"/>
      <c r="AT348" s="1"/>
      <c r="AV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T348"/>
      <c r="CU348"/>
      <c r="CV348"/>
      <c r="CW348"/>
      <c r="CX348"/>
      <c r="CY348"/>
      <c r="CZ348"/>
    </row>
    <row r="349" spans="33:104">
      <c r="AG349" s="1"/>
      <c r="AH349" s="1"/>
      <c r="AI349" s="1"/>
      <c r="AJ349" s="1"/>
      <c r="AR349" s="1"/>
      <c r="AS349" s="1"/>
      <c r="AT349" s="1"/>
      <c r="AV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T349"/>
      <c r="CU349"/>
      <c r="CV349"/>
      <c r="CW349"/>
      <c r="CX349"/>
      <c r="CY349"/>
      <c r="CZ349"/>
    </row>
    <row r="350" spans="33:104">
      <c r="AG350" s="1"/>
      <c r="AH350" s="1"/>
      <c r="AI350" s="1"/>
      <c r="AJ350" s="1"/>
      <c r="AR350" s="1"/>
      <c r="AS350" s="1"/>
      <c r="AT350" s="1"/>
      <c r="AV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T350"/>
      <c r="CU350"/>
      <c r="CV350"/>
      <c r="CW350"/>
      <c r="CX350"/>
      <c r="CY350"/>
      <c r="CZ350"/>
    </row>
    <row r="351" spans="33:104">
      <c r="AG351" s="1"/>
      <c r="AH351" s="1"/>
      <c r="AI351" s="1"/>
      <c r="AJ351" s="1"/>
      <c r="AR351" s="1"/>
      <c r="AS351" s="1"/>
      <c r="AT351" s="1"/>
      <c r="AV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T351"/>
      <c r="CU351"/>
      <c r="CV351"/>
      <c r="CW351"/>
      <c r="CX351"/>
      <c r="CY351"/>
      <c r="CZ351"/>
    </row>
    <row r="352" spans="33:104">
      <c r="AG352" s="1"/>
      <c r="AH352" s="1"/>
      <c r="AI352" s="1"/>
      <c r="AJ352" s="1"/>
      <c r="AR352" s="1"/>
      <c r="AS352" s="1"/>
      <c r="AT352" s="1"/>
      <c r="AV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T352"/>
      <c r="CU352"/>
      <c r="CV352"/>
      <c r="CW352"/>
      <c r="CX352"/>
      <c r="CY352"/>
      <c r="CZ352"/>
    </row>
    <row r="353" spans="33:104">
      <c r="AG353" s="1"/>
      <c r="AH353" s="1"/>
      <c r="AI353" s="1"/>
      <c r="AJ353" s="1"/>
      <c r="AR353" s="1"/>
      <c r="AS353" s="1"/>
      <c r="AT353" s="1"/>
      <c r="AV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T353"/>
      <c r="CU353"/>
      <c r="CV353"/>
      <c r="CW353"/>
      <c r="CX353"/>
      <c r="CY353"/>
      <c r="CZ353"/>
    </row>
    <row r="354" spans="33:104">
      <c r="AG354" s="1"/>
      <c r="AH354" s="1"/>
      <c r="AI354" s="1"/>
      <c r="AJ354" s="1"/>
      <c r="AR354" s="1"/>
      <c r="AS354" s="1"/>
      <c r="AT354" s="1"/>
      <c r="AV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T354"/>
      <c r="CU354"/>
      <c r="CV354"/>
      <c r="CW354"/>
      <c r="CX354"/>
      <c r="CY354"/>
      <c r="CZ354"/>
    </row>
    <row r="355" spans="33:104">
      <c r="AG355" s="1"/>
      <c r="AH355" s="1"/>
      <c r="AI355" s="1"/>
      <c r="AJ355" s="1"/>
      <c r="AR355" s="1"/>
      <c r="AS355" s="1"/>
      <c r="AT355" s="1"/>
      <c r="AV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T355"/>
      <c r="CU355"/>
      <c r="CV355"/>
      <c r="CW355"/>
      <c r="CX355"/>
      <c r="CY355"/>
      <c r="CZ355"/>
    </row>
    <row r="356" spans="33:104">
      <c r="AG356" s="1"/>
      <c r="AH356" s="1"/>
      <c r="AI356" s="1"/>
      <c r="AJ356" s="1"/>
      <c r="AR356" s="1"/>
      <c r="AS356" s="1"/>
      <c r="AT356" s="1"/>
      <c r="AV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T356"/>
      <c r="CU356"/>
      <c r="CV356"/>
      <c r="CW356"/>
      <c r="CX356"/>
      <c r="CY356"/>
      <c r="CZ356"/>
    </row>
    <row r="357" spans="33:104">
      <c r="AG357" s="1"/>
      <c r="AH357" s="1"/>
      <c r="AI357" s="1"/>
      <c r="AJ357" s="1"/>
      <c r="AR357" s="1"/>
      <c r="AS357" s="1"/>
      <c r="AT357" s="1"/>
      <c r="AV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T357"/>
      <c r="CU357"/>
      <c r="CV357"/>
      <c r="CW357"/>
      <c r="CX357"/>
      <c r="CY357"/>
      <c r="CZ357"/>
    </row>
    <row r="358" spans="33:104">
      <c r="AG358" s="1"/>
      <c r="AH358" s="1"/>
      <c r="AI358" s="1"/>
      <c r="AJ358" s="1"/>
      <c r="AR358" s="1"/>
      <c r="AS358" s="1"/>
      <c r="AT358" s="1"/>
      <c r="AV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T358"/>
      <c r="CU358"/>
      <c r="CV358"/>
      <c r="CW358"/>
      <c r="CX358"/>
      <c r="CY358"/>
      <c r="CZ358"/>
    </row>
    <row r="359" spans="33:104">
      <c r="AG359" s="1"/>
      <c r="AH359" s="1"/>
      <c r="AI359" s="1"/>
      <c r="AJ359" s="1"/>
      <c r="AR359" s="1"/>
      <c r="AS359" s="1"/>
      <c r="AT359" s="1"/>
      <c r="AV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T359"/>
      <c r="CU359"/>
      <c r="CV359"/>
      <c r="CW359"/>
      <c r="CX359"/>
      <c r="CY359"/>
      <c r="CZ359"/>
    </row>
    <row r="360" spans="33:104">
      <c r="AG360" s="1"/>
      <c r="AH360" s="1"/>
      <c r="AI360" s="1"/>
      <c r="AJ360" s="1"/>
      <c r="AR360" s="1"/>
      <c r="AS360" s="1"/>
      <c r="AT360" s="1"/>
      <c r="AV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T360"/>
      <c r="CU360"/>
      <c r="CV360"/>
      <c r="CW360"/>
      <c r="CX360"/>
      <c r="CY360"/>
      <c r="CZ360"/>
    </row>
    <row r="361" spans="33:104">
      <c r="AG361" s="1"/>
      <c r="AH361" s="1"/>
      <c r="AI361" s="1"/>
      <c r="AJ361" s="1"/>
      <c r="AR361" s="1"/>
      <c r="AS361" s="1"/>
      <c r="AT361" s="1"/>
      <c r="AV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T361"/>
      <c r="CU361"/>
      <c r="CV361"/>
      <c r="CW361"/>
      <c r="CX361"/>
      <c r="CY361"/>
      <c r="CZ361"/>
    </row>
    <row r="362" spans="33:104">
      <c r="AG362" s="1"/>
      <c r="AH362" s="1"/>
      <c r="AI362" s="1"/>
      <c r="AJ362" s="1"/>
      <c r="AR362" s="1"/>
      <c r="AS362" s="1"/>
      <c r="AT362" s="1"/>
      <c r="AV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T362"/>
      <c r="CU362"/>
      <c r="CV362"/>
      <c r="CW362"/>
      <c r="CX362"/>
      <c r="CY362"/>
      <c r="CZ362"/>
    </row>
    <row r="363" spans="33:104">
      <c r="AG363" s="1"/>
      <c r="AH363" s="1"/>
      <c r="AI363" s="1"/>
      <c r="AJ363" s="1"/>
      <c r="AR363" s="1"/>
      <c r="AS363" s="1"/>
      <c r="AT363" s="1"/>
      <c r="AV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T363"/>
      <c r="CU363"/>
      <c r="CV363"/>
      <c r="CW363"/>
      <c r="CX363"/>
      <c r="CY363"/>
      <c r="CZ363"/>
    </row>
    <row r="364" spans="33:104">
      <c r="AG364" s="1"/>
      <c r="AH364" s="1"/>
      <c r="AI364" s="1"/>
      <c r="AJ364" s="1"/>
      <c r="AR364" s="1"/>
      <c r="AS364" s="1"/>
      <c r="AT364" s="1"/>
      <c r="AV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T364"/>
      <c r="CU364"/>
      <c r="CV364"/>
      <c r="CW364"/>
      <c r="CX364"/>
      <c r="CY364"/>
      <c r="CZ364"/>
    </row>
    <row r="365" spans="33:104">
      <c r="AG365" s="1"/>
      <c r="AH365" s="1"/>
      <c r="AI365" s="1"/>
      <c r="AJ365" s="1"/>
      <c r="AR365" s="1"/>
      <c r="AS365" s="1"/>
      <c r="AT365" s="1"/>
      <c r="AV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T365"/>
      <c r="CU365"/>
      <c r="CV365"/>
      <c r="CW365"/>
      <c r="CX365"/>
      <c r="CY365"/>
      <c r="CZ365"/>
    </row>
    <row r="366" spans="33:104">
      <c r="AG366" s="1"/>
      <c r="AH366" s="1"/>
      <c r="AI366" s="1"/>
      <c r="AJ366" s="1"/>
      <c r="AR366" s="1"/>
      <c r="AS366" s="1"/>
      <c r="AT366" s="1"/>
      <c r="AV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T366"/>
      <c r="CU366"/>
      <c r="CV366"/>
      <c r="CW366"/>
      <c r="CX366"/>
      <c r="CY366"/>
      <c r="CZ366"/>
    </row>
    <row r="367" spans="33:104">
      <c r="AG367" s="1"/>
      <c r="AH367" s="1"/>
      <c r="AI367" s="1"/>
      <c r="AJ367" s="1"/>
      <c r="AR367" s="1"/>
      <c r="AS367" s="1"/>
      <c r="AT367" s="1"/>
      <c r="AV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T367"/>
      <c r="CU367"/>
      <c r="CV367"/>
      <c r="CW367"/>
      <c r="CX367"/>
      <c r="CY367"/>
      <c r="CZ367"/>
    </row>
    <row r="368" spans="33:104">
      <c r="AG368" s="1"/>
      <c r="AH368" s="1"/>
      <c r="AI368" s="1"/>
      <c r="AJ368" s="1"/>
      <c r="AR368" s="1"/>
      <c r="AS368" s="1"/>
      <c r="AT368" s="1"/>
      <c r="AV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T368"/>
      <c r="CU368"/>
      <c r="CV368"/>
      <c r="CW368"/>
      <c r="CX368"/>
      <c r="CY368"/>
      <c r="CZ368"/>
    </row>
    <row r="369" spans="33:104">
      <c r="AG369" s="1"/>
      <c r="AH369" s="1"/>
      <c r="AI369" s="1"/>
      <c r="AJ369" s="1"/>
      <c r="AR369" s="1"/>
      <c r="AS369" s="1"/>
      <c r="AT369" s="1"/>
      <c r="AV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T369"/>
      <c r="CU369"/>
      <c r="CV369"/>
      <c r="CW369"/>
      <c r="CX369"/>
      <c r="CY369"/>
      <c r="CZ369"/>
    </row>
    <row r="370" spans="33:104">
      <c r="AG370" s="1"/>
      <c r="AH370" s="1"/>
      <c r="AI370" s="1"/>
      <c r="AJ370" s="1"/>
      <c r="AR370" s="1"/>
      <c r="AS370" s="1"/>
      <c r="AT370" s="1"/>
      <c r="AV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T370"/>
      <c r="CU370"/>
      <c r="CV370"/>
      <c r="CW370"/>
      <c r="CX370"/>
      <c r="CY370"/>
      <c r="CZ370"/>
    </row>
    <row r="371" spans="33:104">
      <c r="AG371" s="1"/>
      <c r="AH371" s="1"/>
      <c r="AI371" s="1"/>
      <c r="AJ371" s="1"/>
      <c r="AR371" s="1"/>
      <c r="AS371" s="1"/>
      <c r="AT371" s="1"/>
      <c r="AV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T371"/>
      <c r="CU371"/>
      <c r="CV371"/>
      <c r="CW371"/>
      <c r="CX371"/>
      <c r="CY371"/>
      <c r="CZ371"/>
    </row>
    <row r="372" spans="33:104">
      <c r="AG372" s="1"/>
      <c r="AH372" s="1"/>
      <c r="AI372" s="1"/>
      <c r="AJ372" s="1"/>
      <c r="AR372" s="1"/>
      <c r="AS372" s="1"/>
      <c r="AT372" s="1"/>
      <c r="AV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T372"/>
      <c r="CU372"/>
      <c r="CV372"/>
      <c r="CW372"/>
      <c r="CX372"/>
      <c r="CY372"/>
      <c r="CZ372"/>
    </row>
    <row r="373" spans="33:104">
      <c r="AG373" s="1"/>
      <c r="AH373" s="1"/>
      <c r="AI373" s="1"/>
      <c r="AJ373" s="1"/>
      <c r="AR373" s="1"/>
      <c r="AS373" s="1"/>
      <c r="AT373" s="1"/>
      <c r="AV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T373"/>
      <c r="CU373"/>
      <c r="CV373"/>
      <c r="CW373"/>
      <c r="CX373"/>
      <c r="CY373"/>
      <c r="CZ373"/>
    </row>
    <row r="374" spans="33:104">
      <c r="AG374" s="1"/>
      <c r="AH374" s="1"/>
      <c r="AI374" s="1"/>
      <c r="AJ374" s="1"/>
      <c r="AR374" s="1"/>
      <c r="AS374" s="1"/>
      <c r="AT374" s="1"/>
      <c r="AV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T374"/>
      <c r="CU374"/>
      <c r="CV374"/>
      <c r="CW374"/>
      <c r="CX374"/>
      <c r="CY374"/>
      <c r="CZ374"/>
    </row>
    <row r="375" spans="33:104">
      <c r="AG375" s="1"/>
      <c r="AH375" s="1"/>
      <c r="AI375" s="1"/>
      <c r="AJ375" s="1"/>
      <c r="AR375" s="1"/>
      <c r="AS375" s="1"/>
      <c r="AT375" s="1"/>
      <c r="AV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T375"/>
      <c r="CU375"/>
      <c r="CV375"/>
      <c r="CW375"/>
      <c r="CX375"/>
      <c r="CY375"/>
      <c r="CZ375"/>
    </row>
    <row r="376" spans="33:104">
      <c r="AG376" s="1"/>
      <c r="AH376" s="1"/>
      <c r="AI376" s="1"/>
      <c r="AJ376" s="1"/>
      <c r="AR376" s="1"/>
      <c r="AS376" s="1"/>
      <c r="AT376" s="1"/>
      <c r="AV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T376"/>
      <c r="CU376"/>
      <c r="CV376"/>
      <c r="CW376"/>
      <c r="CX376"/>
      <c r="CY376"/>
      <c r="CZ376"/>
    </row>
    <row r="377" spans="33:104">
      <c r="AG377" s="1"/>
      <c r="AH377" s="1"/>
      <c r="AI377" s="1"/>
      <c r="AJ377" s="1"/>
      <c r="AR377" s="1"/>
      <c r="AS377" s="1"/>
      <c r="AT377" s="1"/>
      <c r="AV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T377"/>
      <c r="CU377"/>
      <c r="CV377"/>
      <c r="CW377"/>
      <c r="CX377"/>
      <c r="CY377"/>
      <c r="CZ377"/>
    </row>
    <row r="378" spans="33:104">
      <c r="AG378" s="1"/>
      <c r="AH378" s="1"/>
      <c r="AI378" s="1"/>
      <c r="AJ378" s="1"/>
      <c r="AR378" s="1"/>
      <c r="AS378" s="1"/>
      <c r="AT378" s="1"/>
      <c r="AV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T378"/>
      <c r="CU378"/>
      <c r="CV378"/>
      <c r="CW378"/>
      <c r="CX378"/>
      <c r="CY378"/>
      <c r="CZ378"/>
    </row>
    <row r="379" spans="33:104">
      <c r="AG379" s="1"/>
      <c r="AH379" s="1"/>
      <c r="AI379" s="1"/>
      <c r="AJ379" s="1"/>
      <c r="AR379" s="1"/>
      <c r="AS379" s="1"/>
      <c r="AT379" s="1"/>
      <c r="AV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T379"/>
      <c r="CU379"/>
      <c r="CV379"/>
      <c r="CW379"/>
      <c r="CX379"/>
      <c r="CY379"/>
      <c r="CZ379"/>
    </row>
    <row r="380" spans="33:104">
      <c r="AG380" s="1"/>
      <c r="AH380" s="1"/>
      <c r="AI380" s="1"/>
      <c r="AJ380" s="1"/>
      <c r="AR380" s="1"/>
      <c r="AS380" s="1"/>
      <c r="AT380" s="1"/>
      <c r="AV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T380"/>
      <c r="CU380"/>
      <c r="CV380"/>
      <c r="CW380"/>
      <c r="CX380"/>
      <c r="CY380"/>
      <c r="CZ380"/>
    </row>
    <row r="381" spans="33:104">
      <c r="AG381" s="1"/>
      <c r="AH381" s="1"/>
      <c r="AI381" s="1"/>
      <c r="AJ381" s="1"/>
      <c r="AR381" s="1"/>
      <c r="AS381" s="1"/>
      <c r="AT381" s="1"/>
      <c r="AV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T381"/>
      <c r="CU381"/>
      <c r="CV381"/>
      <c r="CW381"/>
      <c r="CX381"/>
      <c r="CY381"/>
      <c r="CZ381"/>
    </row>
    <row r="382" spans="33:104">
      <c r="AG382" s="1"/>
      <c r="AH382" s="1"/>
      <c r="AI382" s="1"/>
      <c r="AJ382" s="1"/>
      <c r="AR382" s="1"/>
      <c r="AS382" s="1"/>
      <c r="AT382" s="1"/>
      <c r="AV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T382"/>
      <c r="CU382"/>
      <c r="CV382"/>
      <c r="CW382"/>
      <c r="CX382"/>
      <c r="CY382"/>
      <c r="CZ382"/>
    </row>
    <row r="383" spans="33:104">
      <c r="AG383" s="1"/>
      <c r="AH383" s="1"/>
      <c r="AI383" s="1"/>
      <c r="AJ383" s="1"/>
      <c r="AR383" s="1"/>
      <c r="AS383" s="1"/>
      <c r="AT383" s="1"/>
      <c r="AV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T383"/>
      <c r="CU383"/>
      <c r="CV383"/>
      <c r="CW383"/>
      <c r="CX383"/>
      <c r="CY383"/>
      <c r="CZ383"/>
    </row>
    <row r="384" spans="33:104">
      <c r="AG384" s="1"/>
      <c r="AH384" s="1"/>
      <c r="AI384" s="1"/>
      <c r="AJ384" s="1"/>
      <c r="AR384" s="1"/>
      <c r="AS384" s="1"/>
      <c r="AT384" s="1"/>
      <c r="AV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T384"/>
      <c r="CU384"/>
      <c r="CV384"/>
      <c r="CW384"/>
      <c r="CX384"/>
      <c r="CY384"/>
      <c r="CZ384"/>
    </row>
    <row r="385" spans="33:104">
      <c r="AG385" s="1"/>
      <c r="AH385" s="1"/>
      <c r="AI385" s="1"/>
      <c r="AJ385" s="1"/>
      <c r="AR385" s="1"/>
      <c r="AS385" s="1"/>
      <c r="AT385" s="1"/>
      <c r="AV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T385"/>
      <c r="CU385"/>
      <c r="CV385"/>
      <c r="CW385"/>
      <c r="CX385"/>
      <c r="CY385"/>
      <c r="CZ385"/>
    </row>
    <row r="386" spans="33:104">
      <c r="AG386" s="1"/>
      <c r="AH386" s="1"/>
      <c r="AI386" s="1"/>
      <c r="AJ386" s="1"/>
      <c r="AR386" s="1"/>
      <c r="AS386" s="1"/>
      <c r="AT386" s="1"/>
      <c r="AV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T386"/>
      <c r="CU386"/>
      <c r="CV386"/>
      <c r="CW386"/>
      <c r="CX386"/>
      <c r="CY386"/>
      <c r="CZ386"/>
    </row>
    <row r="387" spans="33:104">
      <c r="AG387" s="1"/>
      <c r="AH387" s="1"/>
      <c r="AI387" s="1"/>
      <c r="AJ387" s="1"/>
      <c r="AR387" s="1"/>
      <c r="AS387" s="1"/>
      <c r="AT387" s="1"/>
      <c r="AV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T387"/>
      <c r="CU387"/>
      <c r="CV387"/>
      <c r="CW387"/>
      <c r="CX387"/>
      <c r="CY387"/>
      <c r="CZ387"/>
    </row>
    <row r="388" spans="33:104">
      <c r="AG388" s="1"/>
      <c r="AH388" s="1"/>
      <c r="AI388" s="1"/>
      <c r="AJ388" s="1"/>
      <c r="AR388" s="1"/>
      <c r="AS388" s="1"/>
      <c r="AT388" s="1"/>
      <c r="AV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T388"/>
      <c r="CU388"/>
      <c r="CV388"/>
      <c r="CW388"/>
      <c r="CX388"/>
      <c r="CY388"/>
      <c r="CZ388"/>
    </row>
    <row r="389" spans="33:104">
      <c r="AG389" s="1"/>
      <c r="AH389" s="1"/>
      <c r="AI389" s="1"/>
      <c r="AJ389" s="1"/>
      <c r="AR389" s="1"/>
      <c r="AS389" s="1"/>
      <c r="AT389" s="1"/>
      <c r="AV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T389"/>
      <c r="CU389"/>
      <c r="CV389"/>
      <c r="CW389"/>
      <c r="CX389"/>
      <c r="CY389"/>
      <c r="CZ389"/>
    </row>
    <row r="390" spans="33:104">
      <c r="AG390" s="1"/>
      <c r="AH390" s="1"/>
      <c r="AI390" s="1"/>
      <c r="AJ390" s="1"/>
      <c r="AR390" s="1"/>
      <c r="AS390" s="1"/>
      <c r="AT390" s="1"/>
      <c r="AV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T390"/>
      <c r="CU390"/>
      <c r="CV390"/>
      <c r="CW390"/>
      <c r="CX390"/>
      <c r="CY390"/>
      <c r="CZ390"/>
    </row>
    <row r="391" spans="33:104">
      <c r="AG391" s="1"/>
      <c r="AH391" s="1"/>
      <c r="AI391" s="1"/>
      <c r="AJ391" s="1"/>
      <c r="AR391" s="1"/>
      <c r="AS391" s="1"/>
      <c r="AT391" s="1"/>
      <c r="AV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T391"/>
      <c r="CU391"/>
      <c r="CV391"/>
      <c r="CW391"/>
      <c r="CX391"/>
      <c r="CY391"/>
      <c r="CZ391"/>
    </row>
    <row r="392" spans="33:104">
      <c r="AG392" s="1"/>
      <c r="AH392" s="1"/>
      <c r="AI392" s="1"/>
      <c r="AJ392" s="1"/>
      <c r="AR392" s="1"/>
      <c r="AS392" s="1"/>
      <c r="AT392" s="1"/>
      <c r="AV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T392"/>
      <c r="CU392"/>
      <c r="CV392"/>
      <c r="CW392"/>
      <c r="CX392"/>
      <c r="CY392"/>
      <c r="CZ392"/>
    </row>
    <row r="393" spans="33:104">
      <c r="AG393" s="1"/>
      <c r="AH393" s="1"/>
      <c r="AI393" s="1"/>
      <c r="AJ393" s="1"/>
      <c r="AR393" s="1"/>
      <c r="AS393" s="1"/>
      <c r="AT393" s="1"/>
      <c r="AV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T393"/>
      <c r="CU393"/>
      <c r="CV393"/>
      <c r="CW393"/>
      <c r="CX393"/>
      <c r="CY393"/>
      <c r="CZ393"/>
    </row>
    <row r="394" spans="33:104">
      <c r="AG394" s="1"/>
      <c r="AH394" s="1"/>
      <c r="AI394" s="1"/>
      <c r="AJ394" s="1"/>
      <c r="AR394" s="1"/>
      <c r="AS394" s="1"/>
      <c r="AT394" s="1"/>
      <c r="AV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T394"/>
      <c r="CU394"/>
      <c r="CV394"/>
      <c r="CW394"/>
      <c r="CX394"/>
      <c r="CY394"/>
      <c r="CZ394"/>
    </row>
    <row r="395" spans="33:104">
      <c r="AG395" s="1"/>
      <c r="AH395" s="1"/>
      <c r="AI395" s="1"/>
      <c r="AJ395" s="1"/>
      <c r="AR395" s="1"/>
      <c r="AS395" s="1"/>
      <c r="AT395" s="1"/>
      <c r="AV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T395"/>
      <c r="CU395"/>
      <c r="CV395"/>
      <c r="CW395"/>
      <c r="CX395"/>
      <c r="CY395"/>
      <c r="CZ395"/>
    </row>
    <row r="396" spans="33:104">
      <c r="AG396" s="1"/>
      <c r="AH396" s="1"/>
      <c r="AI396" s="1"/>
      <c r="AJ396" s="1"/>
      <c r="AR396" s="1"/>
      <c r="AS396" s="1"/>
      <c r="AT396" s="1"/>
      <c r="AV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T396"/>
      <c r="CU396"/>
      <c r="CV396"/>
      <c r="CW396"/>
      <c r="CX396"/>
      <c r="CY396"/>
      <c r="CZ396"/>
    </row>
    <row r="397" spans="33:104">
      <c r="AG397" s="1"/>
      <c r="AH397" s="1"/>
      <c r="AI397" s="1"/>
      <c r="AJ397" s="1"/>
      <c r="AR397" s="1"/>
      <c r="AS397" s="1"/>
      <c r="AT397" s="1"/>
      <c r="AV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T397"/>
      <c r="CU397"/>
      <c r="CV397"/>
      <c r="CW397"/>
      <c r="CX397"/>
      <c r="CY397"/>
      <c r="CZ397"/>
    </row>
    <row r="398" spans="33:104">
      <c r="AG398" s="1"/>
      <c r="AH398" s="1"/>
      <c r="AI398" s="1"/>
      <c r="AJ398" s="1"/>
      <c r="AR398" s="1"/>
      <c r="AS398" s="1"/>
      <c r="AT398" s="1"/>
      <c r="AV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T398"/>
      <c r="CU398"/>
      <c r="CV398"/>
      <c r="CW398"/>
      <c r="CX398"/>
      <c r="CY398"/>
      <c r="CZ398"/>
    </row>
    <row r="399" spans="33:104">
      <c r="AG399" s="1"/>
      <c r="AH399" s="1"/>
      <c r="AI399" s="1"/>
      <c r="AJ399" s="1"/>
      <c r="AR399" s="1"/>
      <c r="AS399" s="1"/>
      <c r="AT399" s="1"/>
      <c r="AV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T399"/>
      <c r="CU399"/>
      <c r="CV399"/>
      <c r="CW399"/>
      <c r="CX399"/>
      <c r="CY399"/>
      <c r="CZ399"/>
    </row>
    <row r="400" spans="33:104">
      <c r="AG400" s="1"/>
      <c r="AH400" s="1"/>
      <c r="AI400" s="1"/>
      <c r="AJ400" s="1"/>
      <c r="AR400" s="1"/>
      <c r="AS400" s="1"/>
      <c r="AT400" s="1"/>
      <c r="AV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T400"/>
      <c r="CU400"/>
      <c r="CV400"/>
      <c r="CW400"/>
      <c r="CX400"/>
      <c r="CY400"/>
      <c r="CZ400"/>
    </row>
    <row r="401" spans="33:104">
      <c r="AG401" s="1"/>
      <c r="AH401" s="1"/>
      <c r="AI401" s="1"/>
      <c r="AJ401" s="1"/>
      <c r="AR401" s="1"/>
      <c r="AS401" s="1"/>
      <c r="AT401" s="1"/>
      <c r="AV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T401"/>
      <c r="CU401"/>
      <c r="CV401"/>
      <c r="CW401"/>
      <c r="CX401"/>
      <c r="CY401"/>
      <c r="CZ401"/>
    </row>
    <row r="402" spans="33:104">
      <c r="AG402" s="1"/>
      <c r="AH402" s="1"/>
      <c r="AI402" s="1"/>
      <c r="AJ402" s="1"/>
      <c r="AR402" s="1"/>
      <c r="AS402" s="1"/>
      <c r="AT402" s="1"/>
      <c r="AV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T402"/>
      <c r="CU402"/>
      <c r="CV402"/>
      <c r="CW402"/>
      <c r="CX402"/>
      <c r="CY402"/>
      <c r="CZ402"/>
    </row>
    <row r="403" spans="33:104">
      <c r="AG403" s="1"/>
      <c r="AH403" s="1"/>
      <c r="AI403" s="1"/>
      <c r="AJ403" s="1"/>
      <c r="AR403" s="1"/>
      <c r="AS403" s="1"/>
      <c r="AT403" s="1"/>
      <c r="AV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T403"/>
      <c r="CU403"/>
      <c r="CV403"/>
      <c r="CW403"/>
      <c r="CX403"/>
      <c r="CY403"/>
      <c r="CZ403"/>
    </row>
    <row r="404" spans="33:104">
      <c r="AG404" s="1"/>
      <c r="AH404" s="1"/>
      <c r="AI404" s="1"/>
      <c r="AJ404" s="1"/>
      <c r="AR404" s="1"/>
      <c r="AS404" s="1"/>
      <c r="AT404" s="1"/>
      <c r="AV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T404"/>
      <c r="CU404"/>
      <c r="CV404"/>
      <c r="CW404"/>
      <c r="CX404"/>
      <c r="CY404"/>
      <c r="CZ404"/>
    </row>
    <row r="405" spans="33:104">
      <c r="AG405" s="1"/>
      <c r="AH405" s="1"/>
      <c r="AI405" s="1"/>
      <c r="AJ405" s="1"/>
      <c r="AR405" s="1"/>
      <c r="AS405" s="1"/>
      <c r="AT405" s="1"/>
      <c r="AV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T405"/>
      <c r="CU405"/>
      <c r="CV405"/>
      <c r="CW405"/>
      <c r="CX405"/>
      <c r="CY405"/>
      <c r="CZ405"/>
    </row>
    <row r="406" spans="33:104">
      <c r="AG406" s="1"/>
      <c r="AH406" s="1"/>
      <c r="AI406" s="1"/>
      <c r="AJ406" s="1"/>
      <c r="AR406" s="1"/>
      <c r="AS406" s="1"/>
      <c r="AT406" s="1"/>
      <c r="AV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T406"/>
      <c r="CU406"/>
      <c r="CV406"/>
      <c r="CW406"/>
      <c r="CX406"/>
      <c r="CY406"/>
      <c r="CZ406"/>
    </row>
    <row r="407" spans="33:104">
      <c r="AG407" s="1"/>
      <c r="AH407" s="1"/>
      <c r="AI407" s="1"/>
      <c r="AJ407" s="1"/>
      <c r="AR407" s="1"/>
      <c r="AS407" s="1"/>
      <c r="AT407" s="1"/>
      <c r="AV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T407"/>
      <c r="CU407"/>
      <c r="CV407"/>
      <c r="CW407"/>
      <c r="CX407"/>
      <c r="CY407"/>
      <c r="CZ407"/>
    </row>
    <row r="408" spans="33:104">
      <c r="AG408" s="1"/>
      <c r="AH408" s="1"/>
      <c r="AI408" s="1"/>
      <c r="AJ408" s="1"/>
      <c r="AR408" s="1"/>
      <c r="AS408" s="1"/>
      <c r="AT408" s="1"/>
      <c r="AV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T408"/>
      <c r="CU408"/>
      <c r="CV408"/>
      <c r="CW408"/>
      <c r="CX408"/>
      <c r="CY408"/>
      <c r="CZ408"/>
    </row>
    <row r="409" spans="33:104">
      <c r="AG409" s="1"/>
      <c r="AH409" s="1"/>
      <c r="AI409" s="1"/>
      <c r="AJ409" s="1"/>
      <c r="AR409" s="1"/>
      <c r="AS409" s="1"/>
      <c r="AT409" s="1"/>
      <c r="AV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T409"/>
      <c r="CU409"/>
      <c r="CV409"/>
      <c r="CW409"/>
      <c r="CX409"/>
      <c r="CY409"/>
      <c r="CZ409"/>
    </row>
    <row r="410" spans="33:104">
      <c r="AG410" s="1"/>
      <c r="AH410" s="1"/>
      <c r="AI410" s="1"/>
      <c r="AJ410" s="1"/>
      <c r="AR410" s="1"/>
      <c r="AS410" s="1"/>
      <c r="AT410" s="1"/>
      <c r="AV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T410"/>
      <c r="CU410"/>
      <c r="CV410"/>
      <c r="CW410"/>
      <c r="CX410"/>
      <c r="CY410"/>
      <c r="CZ410"/>
    </row>
    <row r="411" spans="33:104">
      <c r="AG411" s="1"/>
      <c r="AH411" s="1"/>
      <c r="AI411" s="1"/>
      <c r="AJ411" s="1"/>
      <c r="AR411" s="1"/>
      <c r="AS411" s="1"/>
      <c r="AT411" s="1"/>
      <c r="AV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T411"/>
      <c r="CU411"/>
      <c r="CV411"/>
      <c r="CW411"/>
      <c r="CX411"/>
      <c r="CY411"/>
      <c r="CZ411"/>
    </row>
    <row r="412" spans="33:104">
      <c r="AG412" s="1"/>
      <c r="AH412" s="1"/>
      <c r="AI412" s="1"/>
      <c r="AJ412" s="1"/>
      <c r="AR412" s="1"/>
      <c r="AS412" s="1"/>
      <c r="AT412" s="1"/>
      <c r="AV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T412"/>
      <c r="CU412"/>
      <c r="CV412"/>
      <c r="CW412"/>
      <c r="CX412"/>
      <c r="CY412"/>
      <c r="CZ412"/>
    </row>
    <row r="413" spans="33:104">
      <c r="AG413" s="1"/>
      <c r="AH413" s="1"/>
      <c r="AI413" s="1"/>
      <c r="AJ413" s="1"/>
      <c r="AR413" s="1"/>
      <c r="AS413" s="1"/>
      <c r="AT413" s="1"/>
      <c r="AV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T413"/>
      <c r="CU413"/>
      <c r="CV413"/>
      <c r="CW413"/>
      <c r="CX413"/>
      <c r="CY413"/>
      <c r="CZ413"/>
    </row>
    <row r="414" spans="33:104">
      <c r="AG414" s="1"/>
      <c r="AH414" s="1"/>
      <c r="AI414" s="1"/>
      <c r="AJ414" s="1"/>
      <c r="AR414" s="1"/>
      <c r="AS414" s="1"/>
      <c r="AT414" s="1"/>
      <c r="AV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T414"/>
      <c r="CU414"/>
      <c r="CV414"/>
      <c r="CW414"/>
      <c r="CX414"/>
      <c r="CY414"/>
      <c r="CZ414"/>
    </row>
    <row r="415" spans="33:104">
      <c r="AG415" s="1"/>
      <c r="AH415" s="1"/>
      <c r="AI415" s="1"/>
      <c r="AJ415" s="1"/>
      <c r="AR415" s="1"/>
      <c r="AS415" s="1"/>
      <c r="AT415" s="1"/>
      <c r="AV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T415"/>
      <c r="CU415"/>
      <c r="CV415"/>
      <c r="CW415"/>
      <c r="CX415"/>
      <c r="CY415"/>
      <c r="CZ415"/>
    </row>
    <row r="416" spans="33:104">
      <c r="AG416" s="1"/>
      <c r="AH416" s="1"/>
      <c r="AI416" s="1"/>
      <c r="AJ416" s="1"/>
      <c r="AR416" s="1"/>
      <c r="AS416" s="1"/>
      <c r="AT416" s="1"/>
      <c r="AV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T416"/>
      <c r="CU416"/>
      <c r="CV416"/>
      <c r="CW416"/>
      <c r="CX416"/>
      <c r="CY416"/>
      <c r="CZ416"/>
    </row>
    <row r="417" spans="33:104">
      <c r="AG417" s="1"/>
      <c r="AH417" s="1"/>
      <c r="AI417" s="1"/>
      <c r="AJ417" s="1"/>
      <c r="AR417" s="1"/>
      <c r="AS417" s="1"/>
      <c r="AT417" s="1"/>
      <c r="AV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T417"/>
      <c r="CU417"/>
      <c r="CV417"/>
      <c r="CW417"/>
      <c r="CX417"/>
      <c r="CY417"/>
      <c r="CZ417"/>
    </row>
    <row r="418" spans="33:104">
      <c r="AG418" s="1"/>
      <c r="AH418" s="1"/>
      <c r="AI418" s="1"/>
      <c r="AJ418" s="1"/>
      <c r="AR418" s="1"/>
      <c r="AS418" s="1"/>
      <c r="AT418" s="1"/>
      <c r="AV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T418"/>
      <c r="CU418"/>
      <c r="CV418"/>
      <c r="CW418"/>
      <c r="CX418"/>
      <c r="CY418"/>
      <c r="CZ418"/>
    </row>
    <row r="419" spans="33:104">
      <c r="AG419" s="1"/>
      <c r="AH419" s="1"/>
      <c r="AI419" s="1"/>
      <c r="AJ419" s="1"/>
      <c r="AR419" s="1"/>
      <c r="AS419" s="1"/>
      <c r="AT419" s="1"/>
      <c r="AV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T419"/>
      <c r="CU419"/>
      <c r="CV419"/>
      <c r="CW419"/>
      <c r="CX419"/>
      <c r="CY419"/>
      <c r="CZ419"/>
    </row>
    <row r="420" spans="33:104">
      <c r="AG420" s="1"/>
      <c r="AH420" s="1"/>
      <c r="AI420" s="1"/>
      <c r="AJ420" s="1"/>
      <c r="AR420" s="1"/>
      <c r="AS420" s="1"/>
      <c r="AT420" s="1"/>
      <c r="AV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T420"/>
      <c r="CU420"/>
      <c r="CV420"/>
      <c r="CW420"/>
      <c r="CX420"/>
      <c r="CY420"/>
      <c r="CZ420"/>
    </row>
    <row r="421" spans="33:104">
      <c r="AG421" s="1"/>
      <c r="AH421" s="1"/>
      <c r="AI421" s="1"/>
      <c r="AJ421" s="1"/>
      <c r="AR421" s="1"/>
      <c r="AS421" s="1"/>
      <c r="AT421" s="1"/>
      <c r="AV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T421"/>
      <c r="CU421"/>
      <c r="CV421"/>
      <c r="CW421"/>
      <c r="CX421"/>
      <c r="CY421"/>
      <c r="CZ421"/>
    </row>
    <row r="422" spans="33:104">
      <c r="AG422" s="1"/>
      <c r="AH422" s="1"/>
      <c r="AI422" s="1"/>
      <c r="AJ422" s="1"/>
      <c r="AR422" s="1"/>
      <c r="AS422" s="1"/>
      <c r="AT422" s="1"/>
      <c r="AV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T422"/>
      <c r="CU422"/>
      <c r="CV422"/>
      <c r="CW422"/>
      <c r="CX422"/>
      <c r="CY422"/>
      <c r="CZ422"/>
    </row>
    <row r="423" spans="33:104">
      <c r="AG423" s="1"/>
      <c r="AH423" s="1"/>
      <c r="AI423" s="1"/>
      <c r="AJ423" s="1"/>
      <c r="AR423" s="1"/>
      <c r="AS423" s="1"/>
      <c r="AT423" s="1"/>
      <c r="AV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T423"/>
      <c r="CU423"/>
      <c r="CV423"/>
      <c r="CW423"/>
      <c r="CX423"/>
      <c r="CY423"/>
      <c r="CZ423"/>
    </row>
    <row r="424" spans="33:104">
      <c r="AG424" s="1"/>
      <c r="AH424" s="1"/>
      <c r="AI424" s="1"/>
      <c r="AJ424" s="1"/>
      <c r="AR424" s="1"/>
      <c r="AS424" s="1"/>
      <c r="AT424" s="1"/>
      <c r="AV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T424"/>
      <c r="CU424"/>
      <c r="CV424"/>
      <c r="CW424"/>
      <c r="CX424"/>
      <c r="CY424"/>
      <c r="CZ424"/>
    </row>
    <row r="425" spans="33:104">
      <c r="AG425" s="1"/>
      <c r="AH425" s="1"/>
      <c r="AI425" s="1"/>
      <c r="AJ425" s="1"/>
      <c r="AR425" s="1"/>
      <c r="AS425" s="1"/>
      <c r="AT425" s="1"/>
      <c r="AV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T425"/>
      <c r="CU425"/>
      <c r="CV425"/>
      <c r="CW425"/>
      <c r="CX425"/>
      <c r="CY425"/>
      <c r="CZ425"/>
    </row>
    <row r="426" spans="33:104">
      <c r="AG426" s="1"/>
      <c r="AH426" s="1"/>
      <c r="AI426" s="1"/>
      <c r="AJ426" s="1"/>
      <c r="AR426" s="1"/>
      <c r="AS426" s="1"/>
      <c r="AT426" s="1"/>
      <c r="AV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T426"/>
      <c r="CU426"/>
      <c r="CV426"/>
      <c r="CW426"/>
      <c r="CX426"/>
      <c r="CY426"/>
      <c r="CZ426"/>
    </row>
    <row r="427" spans="33:104">
      <c r="AG427" s="1"/>
      <c r="AH427" s="1"/>
      <c r="AI427" s="1"/>
      <c r="AJ427" s="1"/>
      <c r="AR427" s="1"/>
      <c r="AS427" s="1"/>
      <c r="AT427" s="1"/>
      <c r="AV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T427"/>
      <c r="CU427"/>
      <c r="CV427"/>
      <c r="CW427"/>
      <c r="CX427"/>
      <c r="CY427"/>
      <c r="CZ427"/>
    </row>
    <row r="428" spans="33:104">
      <c r="AG428" s="1"/>
      <c r="AH428" s="1"/>
      <c r="AI428" s="1"/>
      <c r="AJ428" s="1"/>
      <c r="AR428" s="1"/>
      <c r="AS428" s="1"/>
      <c r="AT428" s="1"/>
      <c r="AV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T428"/>
      <c r="CU428"/>
      <c r="CV428"/>
      <c r="CW428"/>
      <c r="CX428"/>
      <c r="CY428"/>
      <c r="CZ428"/>
    </row>
    <row r="429" spans="33:104">
      <c r="AG429" s="1"/>
      <c r="AH429" s="1"/>
      <c r="AI429" s="1"/>
      <c r="AJ429" s="1"/>
      <c r="AR429" s="1"/>
      <c r="AS429" s="1"/>
      <c r="AT429" s="1"/>
      <c r="AV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T429"/>
      <c r="CU429"/>
      <c r="CV429"/>
      <c r="CW429"/>
      <c r="CX429"/>
      <c r="CY429"/>
      <c r="CZ429"/>
    </row>
    <row r="430" spans="33:104">
      <c r="AG430" s="1"/>
      <c r="AH430" s="1"/>
      <c r="AI430" s="1"/>
      <c r="AJ430" s="1"/>
      <c r="AR430" s="1"/>
      <c r="AS430" s="1"/>
      <c r="AT430" s="1"/>
      <c r="AV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T430"/>
      <c r="CU430"/>
      <c r="CV430"/>
      <c r="CW430"/>
      <c r="CX430"/>
      <c r="CY430"/>
      <c r="CZ430"/>
    </row>
    <row r="431" spans="33:104">
      <c r="AG431" s="1"/>
      <c r="AH431" s="1"/>
      <c r="AI431" s="1"/>
      <c r="AJ431" s="1"/>
      <c r="AR431" s="1"/>
      <c r="AS431" s="1"/>
      <c r="AT431" s="1"/>
      <c r="AV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T431"/>
      <c r="CU431"/>
      <c r="CV431"/>
      <c r="CW431"/>
      <c r="CX431"/>
      <c r="CY431"/>
      <c r="CZ431"/>
    </row>
    <row r="432" spans="33:104">
      <c r="AG432" s="1"/>
      <c r="AH432" s="1"/>
      <c r="AI432" s="1"/>
      <c r="AJ432" s="1"/>
      <c r="AR432" s="1"/>
      <c r="AS432" s="1"/>
      <c r="AT432" s="1"/>
      <c r="AV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T432"/>
      <c r="CU432"/>
      <c r="CV432"/>
      <c r="CW432"/>
      <c r="CX432"/>
      <c r="CY432"/>
      <c r="CZ432"/>
    </row>
    <row r="433" spans="33:104">
      <c r="AG433" s="1"/>
      <c r="AH433" s="1"/>
      <c r="AI433" s="1"/>
      <c r="AJ433" s="1"/>
      <c r="AR433" s="1"/>
      <c r="AS433" s="1"/>
      <c r="AT433" s="1"/>
      <c r="AV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T433"/>
      <c r="CU433"/>
      <c r="CV433"/>
      <c r="CW433"/>
      <c r="CX433"/>
      <c r="CY433"/>
      <c r="CZ433"/>
    </row>
    <row r="434" spans="33:104">
      <c r="AG434" s="1"/>
      <c r="AH434" s="1"/>
      <c r="AI434" s="1"/>
      <c r="AJ434" s="1"/>
      <c r="AR434" s="1"/>
      <c r="AS434" s="1"/>
      <c r="AT434" s="1"/>
      <c r="AV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T434"/>
      <c r="CU434"/>
      <c r="CV434"/>
      <c r="CW434"/>
      <c r="CX434"/>
      <c r="CY434"/>
      <c r="CZ434"/>
    </row>
    <row r="435" spans="33:104">
      <c r="AG435" s="1"/>
      <c r="AH435" s="1"/>
      <c r="AI435" s="1"/>
      <c r="AJ435" s="1"/>
      <c r="AR435" s="1"/>
      <c r="AS435" s="1"/>
      <c r="AT435" s="1"/>
      <c r="AV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T435"/>
      <c r="CU435"/>
      <c r="CV435"/>
      <c r="CW435"/>
      <c r="CX435"/>
      <c r="CY435"/>
      <c r="CZ435"/>
    </row>
    <row r="436" spans="33:104">
      <c r="AG436" s="1"/>
      <c r="AH436" s="1"/>
      <c r="AI436" s="1"/>
      <c r="AJ436" s="1"/>
      <c r="AR436" s="1"/>
      <c r="AS436" s="1"/>
      <c r="AT436" s="1"/>
      <c r="AV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T436"/>
      <c r="CU436"/>
      <c r="CV436"/>
      <c r="CW436"/>
      <c r="CX436"/>
      <c r="CY436"/>
      <c r="CZ436"/>
    </row>
    <row r="437" spans="33:104">
      <c r="AG437" s="1"/>
      <c r="AH437" s="1"/>
      <c r="AI437" s="1"/>
      <c r="AJ437" s="1"/>
      <c r="AR437" s="1"/>
      <c r="AS437" s="1"/>
      <c r="AT437" s="1"/>
      <c r="AV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T437"/>
      <c r="CU437"/>
      <c r="CV437"/>
      <c r="CW437"/>
      <c r="CX437"/>
      <c r="CY437"/>
      <c r="CZ437"/>
    </row>
    <row r="438" spans="33:104">
      <c r="AG438" s="1"/>
      <c r="AH438" s="1"/>
      <c r="AI438" s="1"/>
      <c r="AJ438" s="1"/>
      <c r="AR438" s="1"/>
      <c r="AS438" s="1"/>
      <c r="AT438" s="1"/>
      <c r="AV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T438"/>
      <c r="CU438"/>
      <c r="CV438"/>
      <c r="CW438"/>
      <c r="CX438"/>
      <c r="CY438"/>
      <c r="CZ438"/>
    </row>
    <row r="439" spans="33:104">
      <c r="AG439" s="1"/>
      <c r="AH439" s="1"/>
      <c r="AI439" s="1"/>
      <c r="AJ439" s="1"/>
      <c r="AR439" s="1"/>
      <c r="AS439" s="1"/>
      <c r="AT439" s="1"/>
      <c r="AV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T439"/>
      <c r="CU439"/>
      <c r="CV439"/>
      <c r="CW439"/>
      <c r="CX439"/>
      <c r="CY439"/>
      <c r="CZ439"/>
    </row>
    <row r="440" spans="33:104">
      <c r="AG440" s="1"/>
      <c r="AH440" s="1"/>
      <c r="AI440" s="1"/>
      <c r="AJ440" s="1"/>
      <c r="AR440" s="1"/>
      <c r="AS440" s="1"/>
      <c r="AT440" s="1"/>
      <c r="AV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T440"/>
      <c r="CU440"/>
      <c r="CV440"/>
      <c r="CW440"/>
      <c r="CX440"/>
      <c r="CY440"/>
      <c r="CZ440"/>
    </row>
    <row r="441" spans="33:104">
      <c r="AG441" s="1"/>
      <c r="AH441" s="1"/>
      <c r="AI441" s="1"/>
      <c r="AJ441" s="1"/>
      <c r="AR441" s="1"/>
      <c r="AS441" s="1"/>
      <c r="AT441" s="1"/>
      <c r="AV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T441"/>
      <c r="CU441"/>
      <c r="CV441"/>
      <c r="CW441"/>
      <c r="CX441"/>
      <c r="CY441"/>
      <c r="CZ441"/>
    </row>
    <row r="442" spans="33:104">
      <c r="AG442" s="1"/>
      <c r="AH442" s="1"/>
      <c r="AI442" s="1"/>
      <c r="AJ442" s="1"/>
      <c r="AR442" s="1"/>
      <c r="AS442" s="1"/>
      <c r="AT442" s="1"/>
      <c r="AV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T442"/>
      <c r="CU442"/>
      <c r="CV442"/>
      <c r="CW442"/>
      <c r="CX442"/>
      <c r="CY442"/>
      <c r="CZ442"/>
    </row>
    <row r="443" spans="33:104">
      <c r="AG443" s="1"/>
      <c r="AH443" s="1"/>
      <c r="AI443" s="1"/>
      <c r="AJ443" s="1"/>
      <c r="AR443" s="1"/>
      <c r="AS443" s="1"/>
      <c r="AT443" s="1"/>
      <c r="AV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T443"/>
      <c r="CU443"/>
      <c r="CV443"/>
      <c r="CW443"/>
      <c r="CX443"/>
      <c r="CY443"/>
      <c r="CZ443"/>
    </row>
    <row r="444" spans="33:104">
      <c r="AG444" s="1"/>
      <c r="AH444" s="1"/>
      <c r="AI444" s="1"/>
      <c r="AJ444" s="1"/>
      <c r="AR444" s="1"/>
      <c r="AS444" s="1"/>
      <c r="AT444" s="1"/>
      <c r="AV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T444"/>
      <c r="CU444"/>
      <c r="CV444"/>
      <c r="CW444"/>
      <c r="CX444"/>
      <c r="CY444"/>
      <c r="CZ444"/>
    </row>
    <row r="445" spans="33:104">
      <c r="AG445" s="1"/>
      <c r="AH445" s="1"/>
      <c r="AI445" s="1"/>
      <c r="AJ445" s="1"/>
      <c r="AR445" s="1"/>
      <c r="AS445" s="1"/>
      <c r="AT445" s="1"/>
      <c r="AV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T445"/>
      <c r="CU445"/>
      <c r="CV445"/>
      <c r="CW445"/>
      <c r="CX445"/>
      <c r="CY445"/>
      <c r="CZ445"/>
    </row>
    <row r="446" spans="33:104">
      <c r="AG446" s="1"/>
      <c r="AH446" s="1"/>
      <c r="AI446" s="1"/>
      <c r="AJ446" s="1"/>
      <c r="AR446" s="1"/>
      <c r="AS446" s="1"/>
      <c r="AT446" s="1"/>
      <c r="AV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T446"/>
      <c r="CU446"/>
      <c r="CV446"/>
      <c r="CW446"/>
      <c r="CX446"/>
      <c r="CY446"/>
      <c r="CZ446"/>
    </row>
    <row r="447" spans="33:104">
      <c r="AG447" s="1"/>
      <c r="AH447" s="1"/>
      <c r="AI447" s="1"/>
      <c r="AJ447" s="1"/>
      <c r="AR447" s="1"/>
      <c r="AS447" s="1"/>
      <c r="AT447" s="1"/>
      <c r="AV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T447"/>
      <c r="CU447"/>
      <c r="CV447"/>
      <c r="CW447"/>
      <c r="CX447"/>
      <c r="CY447"/>
      <c r="CZ447"/>
    </row>
    <row r="448" spans="33:104">
      <c r="AG448" s="1"/>
      <c r="AH448" s="1"/>
      <c r="AI448" s="1"/>
      <c r="AJ448" s="1"/>
      <c r="AR448" s="1"/>
      <c r="AS448" s="1"/>
      <c r="AT448" s="1"/>
      <c r="AV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T448"/>
      <c r="CU448"/>
      <c r="CV448"/>
      <c r="CW448"/>
      <c r="CX448"/>
      <c r="CY448"/>
      <c r="CZ448"/>
    </row>
    <row r="449" spans="33:104">
      <c r="AG449" s="1"/>
      <c r="AH449" s="1"/>
      <c r="AI449" s="1"/>
      <c r="AJ449" s="1"/>
      <c r="AR449" s="1"/>
      <c r="AS449" s="1"/>
      <c r="AT449" s="1"/>
      <c r="AV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T449"/>
      <c r="CU449"/>
      <c r="CV449"/>
      <c r="CW449"/>
      <c r="CX449"/>
      <c r="CY449"/>
      <c r="CZ449"/>
    </row>
    <row r="450" spans="33:104">
      <c r="AG450" s="1"/>
      <c r="AH450" s="1"/>
      <c r="AI450" s="1"/>
      <c r="AJ450" s="1"/>
      <c r="AR450" s="1"/>
      <c r="AS450" s="1"/>
      <c r="AT450" s="1"/>
      <c r="AV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T450"/>
      <c r="CU450"/>
      <c r="CV450"/>
      <c r="CW450"/>
      <c r="CX450"/>
      <c r="CY450"/>
      <c r="CZ450"/>
    </row>
    <row r="451" spans="33:104">
      <c r="AG451" s="1"/>
      <c r="AH451" s="1"/>
      <c r="AI451" s="1"/>
      <c r="AJ451" s="1"/>
      <c r="AR451" s="1"/>
      <c r="AS451" s="1"/>
      <c r="AT451" s="1"/>
      <c r="AV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T451"/>
      <c r="CU451"/>
      <c r="CV451"/>
      <c r="CW451"/>
      <c r="CX451"/>
      <c r="CY451"/>
      <c r="CZ451"/>
    </row>
    <row r="452" spans="33:104">
      <c r="AG452" s="1"/>
      <c r="AH452" s="1"/>
      <c r="AI452" s="1"/>
      <c r="AJ452" s="1"/>
      <c r="AR452" s="1"/>
      <c r="AS452" s="1"/>
      <c r="AT452" s="1"/>
      <c r="AV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T452"/>
      <c r="CU452"/>
      <c r="CV452"/>
      <c r="CW452"/>
      <c r="CX452"/>
      <c r="CY452"/>
      <c r="CZ452"/>
    </row>
    <row r="453" spans="33:104">
      <c r="AG453" s="1"/>
      <c r="AH453" s="1"/>
      <c r="AI453" s="1"/>
      <c r="AJ453" s="1"/>
      <c r="AR453" s="1"/>
      <c r="AS453" s="1"/>
      <c r="AT453" s="1"/>
      <c r="AV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T453"/>
      <c r="CU453"/>
      <c r="CV453"/>
      <c r="CW453"/>
      <c r="CX453"/>
      <c r="CY453"/>
      <c r="CZ453"/>
    </row>
    <row r="454" spans="33:104">
      <c r="AG454" s="1"/>
      <c r="AH454" s="1"/>
      <c r="AI454" s="1"/>
      <c r="AJ454" s="1"/>
      <c r="AR454" s="1"/>
      <c r="AS454" s="1"/>
      <c r="AT454" s="1"/>
      <c r="AV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T454"/>
      <c r="CU454"/>
      <c r="CV454"/>
      <c r="CW454"/>
      <c r="CX454"/>
      <c r="CY454"/>
      <c r="CZ454"/>
    </row>
    <row r="455" spans="33:104">
      <c r="AG455" s="1"/>
      <c r="AH455" s="1"/>
      <c r="AI455" s="1"/>
      <c r="AJ455" s="1"/>
      <c r="AR455" s="1"/>
      <c r="AS455" s="1"/>
      <c r="AT455" s="1"/>
      <c r="AV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T455"/>
      <c r="CU455"/>
      <c r="CV455"/>
      <c r="CW455"/>
      <c r="CX455"/>
      <c r="CY455"/>
      <c r="CZ455"/>
    </row>
    <row r="456" spans="33:104">
      <c r="AG456" s="1"/>
      <c r="AH456" s="1"/>
      <c r="AI456" s="1"/>
      <c r="AJ456" s="1"/>
      <c r="AR456" s="1"/>
      <c r="AS456" s="1"/>
      <c r="AT456" s="1"/>
      <c r="AV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T456"/>
      <c r="CU456"/>
      <c r="CV456"/>
      <c r="CW456"/>
      <c r="CX456"/>
      <c r="CY456"/>
      <c r="CZ456"/>
    </row>
    <row r="457" spans="33:104">
      <c r="AG457" s="1"/>
      <c r="AH457" s="1"/>
      <c r="AI457" s="1"/>
      <c r="AJ457" s="1"/>
      <c r="AR457" s="1"/>
      <c r="AS457" s="1"/>
      <c r="AT457" s="1"/>
      <c r="AV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T457"/>
      <c r="CU457"/>
      <c r="CV457"/>
      <c r="CW457"/>
      <c r="CX457"/>
      <c r="CY457"/>
      <c r="CZ457"/>
    </row>
    <row r="458" spans="33:104">
      <c r="AG458" s="1"/>
      <c r="AH458" s="1"/>
      <c r="AI458" s="1"/>
      <c r="AJ458" s="1"/>
      <c r="AR458" s="1"/>
      <c r="AS458" s="1"/>
      <c r="AT458" s="1"/>
      <c r="AV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T458"/>
      <c r="CU458"/>
      <c r="CV458"/>
      <c r="CW458"/>
      <c r="CX458"/>
      <c r="CY458"/>
      <c r="CZ458"/>
    </row>
    <row r="459" spans="33:104">
      <c r="AG459" s="1"/>
      <c r="AH459" s="1"/>
      <c r="AI459" s="1"/>
      <c r="AJ459" s="1"/>
      <c r="AR459" s="1"/>
      <c r="AS459" s="1"/>
      <c r="AT459" s="1"/>
      <c r="AV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T459"/>
      <c r="CU459"/>
      <c r="CV459"/>
      <c r="CW459"/>
      <c r="CX459"/>
      <c r="CY459"/>
      <c r="CZ459"/>
    </row>
    <row r="460" spans="33:104">
      <c r="AG460" s="1"/>
      <c r="AH460" s="1"/>
      <c r="AI460" s="1"/>
      <c r="AJ460" s="1"/>
      <c r="AR460" s="1"/>
      <c r="AS460" s="1"/>
      <c r="AT460" s="1"/>
      <c r="AV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T460"/>
      <c r="CU460"/>
      <c r="CV460"/>
      <c r="CW460"/>
      <c r="CX460"/>
      <c r="CY460"/>
      <c r="CZ460"/>
    </row>
    <row r="461" spans="33:104">
      <c r="AG461" s="1"/>
      <c r="AH461" s="1"/>
      <c r="AI461" s="1"/>
      <c r="AJ461" s="1"/>
      <c r="AR461" s="1"/>
      <c r="AS461" s="1"/>
      <c r="AT461" s="1"/>
      <c r="AV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T461"/>
      <c r="CU461"/>
      <c r="CV461"/>
      <c r="CW461"/>
      <c r="CX461"/>
      <c r="CY461"/>
      <c r="CZ461"/>
    </row>
    <row r="462" spans="33:104">
      <c r="AG462" s="1"/>
      <c r="AH462" s="1"/>
      <c r="AI462" s="1"/>
      <c r="AJ462" s="1"/>
      <c r="AR462" s="1"/>
      <c r="AS462" s="1"/>
      <c r="AT462" s="1"/>
      <c r="AV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T462"/>
      <c r="CU462"/>
      <c r="CV462"/>
      <c r="CW462"/>
      <c r="CX462"/>
      <c r="CY462"/>
      <c r="CZ462"/>
    </row>
    <row r="463" spans="33:104">
      <c r="AG463" s="1"/>
      <c r="AH463" s="1"/>
      <c r="AI463" s="1"/>
      <c r="AJ463" s="1"/>
      <c r="AR463" s="1"/>
      <c r="AS463" s="1"/>
      <c r="AT463" s="1"/>
      <c r="AV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T463"/>
      <c r="CU463"/>
      <c r="CV463"/>
      <c r="CW463"/>
      <c r="CX463"/>
      <c r="CY463"/>
      <c r="CZ463"/>
    </row>
    <row r="464" spans="33:104">
      <c r="AG464" s="1"/>
      <c r="AH464" s="1"/>
      <c r="AI464" s="1"/>
      <c r="AJ464" s="1"/>
      <c r="AR464" s="1"/>
      <c r="AS464" s="1"/>
      <c r="AT464" s="1"/>
      <c r="AV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T464"/>
      <c r="CU464"/>
      <c r="CV464"/>
      <c r="CW464"/>
      <c r="CX464"/>
      <c r="CY464"/>
      <c r="CZ464"/>
    </row>
    <row r="465" spans="33:104">
      <c r="AG465" s="1"/>
      <c r="AH465" s="1"/>
      <c r="AI465" s="1"/>
      <c r="AJ465" s="1"/>
      <c r="AR465" s="1"/>
      <c r="AS465" s="1"/>
      <c r="AT465" s="1"/>
      <c r="AV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T465"/>
      <c r="CU465"/>
      <c r="CV465"/>
      <c r="CW465"/>
      <c r="CX465"/>
      <c r="CY465"/>
      <c r="CZ465"/>
    </row>
    <row r="466" spans="33:104">
      <c r="AG466" s="1"/>
      <c r="AH466" s="1"/>
      <c r="AI466" s="1"/>
      <c r="AJ466" s="1"/>
      <c r="AR466" s="1"/>
      <c r="AS466" s="1"/>
      <c r="AT466" s="1"/>
      <c r="AV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T466"/>
      <c r="CU466"/>
      <c r="CV466"/>
      <c r="CW466"/>
      <c r="CX466"/>
      <c r="CY466"/>
      <c r="CZ466"/>
    </row>
    <row r="467" spans="33:104">
      <c r="AG467" s="1"/>
      <c r="AH467" s="1"/>
      <c r="AI467" s="1"/>
      <c r="AJ467" s="1"/>
      <c r="AR467" s="1"/>
      <c r="AS467" s="1"/>
      <c r="AT467" s="1"/>
      <c r="AV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T467"/>
      <c r="CU467"/>
      <c r="CV467"/>
      <c r="CW467"/>
      <c r="CX467"/>
      <c r="CY467"/>
      <c r="CZ467"/>
    </row>
    <row r="468" spans="33:104">
      <c r="AG468" s="1"/>
      <c r="AH468" s="1"/>
      <c r="AI468" s="1"/>
      <c r="AJ468" s="1"/>
      <c r="AR468" s="1"/>
      <c r="AS468" s="1"/>
      <c r="AT468" s="1"/>
      <c r="AV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T468"/>
      <c r="CU468"/>
      <c r="CV468"/>
      <c r="CW468"/>
      <c r="CX468"/>
      <c r="CY468"/>
      <c r="CZ468"/>
    </row>
    <row r="469" spans="33:104">
      <c r="AG469" s="1"/>
      <c r="AH469" s="1"/>
      <c r="AI469" s="1"/>
      <c r="AJ469" s="1"/>
      <c r="AR469" s="1"/>
      <c r="AS469" s="1"/>
      <c r="AT469" s="1"/>
      <c r="AV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T469"/>
      <c r="CU469"/>
      <c r="CV469"/>
      <c r="CW469"/>
      <c r="CX469"/>
      <c r="CY469"/>
      <c r="CZ469"/>
    </row>
    <row r="470" spans="33:104">
      <c r="AG470" s="1"/>
      <c r="AH470" s="1"/>
      <c r="AI470" s="1"/>
      <c r="AJ470" s="1"/>
      <c r="AR470" s="1"/>
      <c r="AS470" s="1"/>
      <c r="AT470" s="1"/>
      <c r="AV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T470"/>
      <c r="CU470"/>
      <c r="CV470"/>
      <c r="CW470"/>
      <c r="CX470"/>
      <c r="CY470"/>
      <c r="CZ470"/>
    </row>
    <row r="471" spans="33:104">
      <c r="AG471" s="1"/>
      <c r="AH471" s="1"/>
      <c r="AI471" s="1"/>
      <c r="AJ471" s="1"/>
      <c r="AR471" s="1"/>
      <c r="AS471" s="1"/>
      <c r="AT471" s="1"/>
      <c r="AV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T471"/>
      <c r="CU471"/>
      <c r="CV471"/>
      <c r="CW471"/>
      <c r="CX471"/>
      <c r="CY471"/>
      <c r="CZ471"/>
    </row>
    <row r="472" spans="33:104">
      <c r="AG472" s="1"/>
      <c r="AH472" s="1"/>
      <c r="AI472" s="1"/>
      <c r="AJ472" s="1"/>
      <c r="AR472" s="1"/>
      <c r="AS472" s="1"/>
      <c r="AT472" s="1"/>
      <c r="AV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T472"/>
      <c r="CU472"/>
      <c r="CV472"/>
      <c r="CW472"/>
      <c r="CX472"/>
      <c r="CY472"/>
      <c r="CZ472"/>
    </row>
    <row r="473" spans="33:104">
      <c r="AG473" s="1"/>
      <c r="AH473" s="1"/>
      <c r="AI473" s="1"/>
      <c r="AJ473" s="1"/>
      <c r="AR473" s="1"/>
      <c r="AS473" s="1"/>
      <c r="AT473" s="1"/>
      <c r="AV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T473"/>
      <c r="CU473"/>
      <c r="CV473"/>
      <c r="CW473"/>
      <c r="CX473"/>
      <c r="CY473"/>
      <c r="CZ473"/>
    </row>
    <row r="474" spans="33:104">
      <c r="AG474" s="1"/>
      <c r="AH474" s="1"/>
      <c r="AI474" s="1"/>
      <c r="AJ474" s="1"/>
      <c r="AR474" s="1"/>
      <c r="AS474" s="1"/>
      <c r="AT474" s="1"/>
      <c r="AV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T474"/>
      <c r="CU474"/>
      <c r="CV474"/>
      <c r="CW474"/>
      <c r="CX474"/>
      <c r="CY474"/>
      <c r="CZ474"/>
    </row>
    <row r="475" spans="33:104">
      <c r="AG475" s="1"/>
      <c r="AH475" s="1"/>
      <c r="AI475" s="1"/>
      <c r="AJ475" s="1"/>
      <c r="AR475" s="1"/>
      <c r="AS475" s="1"/>
      <c r="AT475" s="1"/>
      <c r="AV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T475"/>
      <c r="CU475"/>
      <c r="CV475"/>
      <c r="CW475"/>
      <c r="CX475"/>
      <c r="CY475"/>
      <c r="CZ475"/>
    </row>
    <row r="476" spans="33:104">
      <c r="AG476" s="1"/>
      <c r="AH476" s="1"/>
      <c r="AI476" s="1"/>
      <c r="AJ476" s="1"/>
      <c r="AR476" s="1"/>
      <c r="AS476" s="1"/>
      <c r="AT476" s="1"/>
      <c r="AV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T476"/>
      <c r="CU476"/>
      <c r="CV476"/>
      <c r="CW476"/>
      <c r="CX476"/>
      <c r="CY476"/>
      <c r="CZ476"/>
    </row>
    <row r="477" spans="33:104">
      <c r="AG477" s="1"/>
      <c r="AH477" s="1"/>
      <c r="AI477" s="1"/>
      <c r="AJ477" s="1"/>
      <c r="AR477" s="1"/>
      <c r="AS477" s="1"/>
      <c r="AT477" s="1"/>
      <c r="AV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T477"/>
      <c r="CU477"/>
      <c r="CV477"/>
      <c r="CW477"/>
      <c r="CX477"/>
      <c r="CY477"/>
      <c r="CZ477"/>
    </row>
    <row r="478" spans="33:104">
      <c r="AG478" s="1"/>
      <c r="AH478" s="1"/>
      <c r="AI478" s="1"/>
      <c r="AJ478" s="1"/>
      <c r="AR478" s="1"/>
      <c r="AS478" s="1"/>
      <c r="AT478" s="1"/>
      <c r="AV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T478"/>
      <c r="CU478"/>
      <c r="CV478"/>
      <c r="CW478"/>
      <c r="CX478"/>
      <c r="CY478"/>
      <c r="CZ478"/>
    </row>
    <row r="479" spans="33:104">
      <c r="AG479" s="1"/>
      <c r="AH479" s="1"/>
      <c r="AI479" s="1"/>
      <c r="AJ479" s="1"/>
      <c r="AR479" s="1"/>
      <c r="AS479" s="1"/>
      <c r="AT479" s="1"/>
      <c r="AV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T479"/>
      <c r="CU479"/>
      <c r="CV479"/>
      <c r="CW479"/>
      <c r="CX479"/>
      <c r="CY479"/>
      <c r="CZ479"/>
    </row>
    <row r="480" spans="33:104">
      <c r="AG480" s="1"/>
      <c r="AH480" s="1"/>
      <c r="AI480" s="1"/>
      <c r="AJ480" s="1"/>
      <c r="AR480" s="1"/>
      <c r="AS480" s="1"/>
      <c r="AT480" s="1"/>
      <c r="AV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T480"/>
      <c r="CU480"/>
      <c r="CV480"/>
      <c r="CW480"/>
      <c r="CX480"/>
      <c r="CY480"/>
      <c r="CZ480"/>
    </row>
    <row r="481" spans="33:104">
      <c r="AG481" s="1"/>
      <c r="AH481" s="1"/>
      <c r="AI481" s="1"/>
      <c r="AJ481" s="1"/>
      <c r="AR481" s="1"/>
      <c r="AS481" s="1"/>
      <c r="AT481" s="1"/>
      <c r="AV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T481"/>
      <c r="CU481"/>
      <c r="CV481"/>
      <c r="CW481"/>
      <c r="CX481"/>
      <c r="CY481"/>
      <c r="CZ481"/>
    </row>
    <row r="482" spans="33:104">
      <c r="AG482" s="1"/>
      <c r="AH482" s="1"/>
      <c r="AI482" s="1"/>
      <c r="AJ482" s="1"/>
      <c r="AR482" s="1"/>
      <c r="AS482" s="1"/>
      <c r="AT482" s="1"/>
      <c r="AV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T482"/>
      <c r="CU482"/>
      <c r="CV482"/>
      <c r="CW482"/>
      <c r="CX482"/>
      <c r="CY482"/>
      <c r="CZ482"/>
    </row>
    <row r="483" spans="33:104">
      <c r="AG483" s="1"/>
      <c r="AH483" s="1"/>
      <c r="AI483" s="1"/>
      <c r="AJ483" s="1"/>
      <c r="AR483" s="1"/>
      <c r="AS483" s="1"/>
      <c r="AT483" s="1"/>
      <c r="AV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T483"/>
      <c r="CU483"/>
      <c r="CV483"/>
      <c r="CW483"/>
      <c r="CX483"/>
      <c r="CY483"/>
      <c r="CZ483"/>
    </row>
    <row r="484" spans="33:104">
      <c r="AG484" s="1"/>
      <c r="AH484" s="1"/>
      <c r="AI484" s="1"/>
      <c r="AJ484" s="1"/>
      <c r="AR484" s="1"/>
      <c r="AS484" s="1"/>
      <c r="AT484" s="1"/>
      <c r="AV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T484"/>
      <c r="CU484"/>
      <c r="CV484"/>
      <c r="CW484"/>
      <c r="CX484"/>
      <c r="CY484"/>
      <c r="CZ484"/>
    </row>
    <row r="485" spans="33:104">
      <c r="AG485" s="1"/>
      <c r="AH485" s="1"/>
      <c r="AI485" s="1"/>
      <c r="AJ485" s="1"/>
      <c r="AR485" s="1"/>
      <c r="AS485" s="1"/>
      <c r="AT485" s="1"/>
      <c r="AV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T485"/>
      <c r="CU485"/>
      <c r="CV485"/>
      <c r="CW485"/>
      <c r="CX485"/>
      <c r="CY485"/>
      <c r="CZ485"/>
    </row>
    <row r="486" spans="33:104">
      <c r="AG486" s="1"/>
      <c r="AH486" s="1"/>
      <c r="AI486" s="1"/>
      <c r="AJ486" s="1"/>
      <c r="AR486" s="1"/>
      <c r="AS486" s="1"/>
      <c r="AT486" s="1"/>
      <c r="AV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T486"/>
      <c r="CU486"/>
      <c r="CV486"/>
      <c r="CW486"/>
      <c r="CX486"/>
      <c r="CY486"/>
      <c r="CZ486"/>
    </row>
    <row r="487" spans="33:104">
      <c r="AG487" s="1"/>
      <c r="AH487" s="1"/>
      <c r="AI487" s="1"/>
      <c r="AJ487" s="1"/>
      <c r="AR487" s="1"/>
      <c r="AS487" s="1"/>
      <c r="AT487" s="1"/>
      <c r="AV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T487"/>
      <c r="CU487"/>
      <c r="CV487"/>
      <c r="CW487"/>
      <c r="CX487"/>
      <c r="CY487"/>
      <c r="CZ487"/>
    </row>
    <row r="488" spans="33:104">
      <c r="AG488" s="1"/>
      <c r="AH488" s="1"/>
      <c r="AI488" s="1"/>
      <c r="AJ488" s="1"/>
      <c r="AR488" s="1"/>
      <c r="AS488" s="1"/>
      <c r="AT488" s="1"/>
      <c r="AV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T488"/>
      <c r="CU488"/>
      <c r="CV488"/>
      <c r="CW488"/>
      <c r="CX488"/>
      <c r="CY488"/>
      <c r="CZ488"/>
    </row>
    <row r="489" spans="33:104">
      <c r="AG489" s="1"/>
      <c r="AH489" s="1"/>
      <c r="AI489" s="1"/>
      <c r="AJ489" s="1"/>
      <c r="AR489" s="1"/>
      <c r="AS489" s="1"/>
      <c r="AT489" s="1"/>
      <c r="AV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T489"/>
      <c r="CU489"/>
      <c r="CV489"/>
      <c r="CW489"/>
      <c r="CX489"/>
      <c r="CY489"/>
      <c r="CZ489"/>
    </row>
    <row r="490" spans="33:104">
      <c r="AG490" s="1"/>
      <c r="AH490" s="1"/>
      <c r="AI490" s="1"/>
      <c r="AJ490" s="1"/>
      <c r="AR490" s="1"/>
      <c r="AS490" s="1"/>
      <c r="AT490" s="1"/>
      <c r="AV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T490"/>
      <c r="CU490"/>
      <c r="CV490"/>
      <c r="CW490"/>
      <c r="CX490"/>
      <c r="CY490"/>
      <c r="CZ490"/>
    </row>
    <row r="491" spans="33:104">
      <c r="AG491" s="1"/>
      <c r="AH491" s="1"/>
      <c r="AI491" s="1"/>
      <c r="AJ491" s="1"/>
      <c r="AR491" s="1"/>
      <c r="AS491" s="1"/>
      <c r="AT491" s="1"/>
      <c r="AV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T491"/>
      <c r="CU491"/>
      <c r="CV491"/>
      <c r="CW491"/>
      <c r="CX491"/>
      <c r="CY491"/>
      <c r="CZ491"/>
    </row>
    <row r="492" spans="33:104">
      <c r="AG492" s="1"/>
      <c r="AH492" s="1"/>
      <c r="AI492" s="1"/>
      <c r="AJ492" s="1"/>
      <c r="AR492" s="1"/>
      <c r="AS492" s="1"/>
      <c r="AT492" s="1"/>
      <c r="AV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T492"/>
      <c r="CU492"/>
      <c r="CV492"/>
      <c r="CW492"/>
      <c r="CX492"/>
      <c r="CY492"/>
      <c r="CZ492"/>
    </row>
    <row r="493" spans="33:104">
      <c r="AG493" s="1"/>
      <c r="AH493" s="1"/>
      <c r="AI493" s="1"/>
      <c r="AJ493" s="1"/>
      <c r="AR493" s="1"/>
      <c r="AS493" s="1"/>
      <c r="AT493" s="1"/>
      <c r="AV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T493"/>
      <c r="CU493"/>
      <c r="CV493"/>
      <c r="CW493"/>
      <c r="CX493"/>
      <c r="CY493"/>
      <c r="CZ493"/>
    </row>
    <row r="494" spans="33:104">
      <c r="AG494" s="1"/>
      <c r="AH494" s="1"/>
      <c r="AI494" s="1"/>
      <c r="AJ494" s="1"/>
      <c r="AR494" s="1"/>
      <c r="AS494" s="1"/>
      <c r="AT494" s="1"/>
      <c r="AV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T494"/>
      <c r="CU494"/>
      <c r="CV494"/>
      <c r="CW494"/>
      <c r="CX494"/>
      <c r="CY494"/>
      <c r="CZ494"/>
    </row>
    <row r="495" spans="33:104">
      <c r="AG495" s="1"/>
      <c r="AH495" s="1"/>
      <c r="AI495" s="1"/>
      <c r="AJ495" s="1"/>
      <c r="AR495" s="1"/>
      <c r="AS495" s="1"/>
      <c r="AT495" s="1"/>
      <c r="AV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T495"/>
      <c r="CU495"/>
      <c r="CV495"/>
      <c r="CW495"/>
      <c r="CX495"/>
      <c r="CY495"/>
      <c r="CZ495"/>
    </row>
    <row r="496" spans="33:104">
      <c r="AG496" s="1"/>
      <c r="AH496" s="1"/>
      <c r="AI496" s="1"/>
      <c r="AJ496" s="1"/>
      <c r="AR496" s="1"/>
      <c r="AS496" s="1"/>
      <c r="AT496" s="1"/>
      <c r="AV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T496"/>
      <c r="CU496"/>
      <c r="CV496"/>
      <c r="CW496"/>
      <c r="CX496"/>
      <c r="CY496"/>
      <c r="CZ496"/>
    </row>
    <row r="497" spans="33:104">
      <c r="AG497" s="1"/>
      <c r="AH497" s="1"/>
      <c r="AI497" s="1"/>
      <c r="AJ497" s="1"/>
      <c r="AR497" s="1"/>
      <c r="AS497" s="1"/>
      <c r="AT497" s="1"/>
      <c r="AV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T497"/>
      <c r="CU497"/>
      <c r="CV497"/>
      <c r="CW497"/>
      <c r="CX497"/>
      <c r="CY497"/>
      <c r="CZ497"/>
    </row>
    <row r="498" spans="33:104">
      <c r="AG498" s="1"/>
      <c r="AH498" s="1"/>
      <c r="AI498" s="1"/>
      <c r="AJ498" s="1"/>
      <c r="AR498" s="1"/>
      <c r="AS498" s="1"/>
      <c r="AT498" s="1"/>
      <c r="AV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T498"/>
      <c r="CU498"/>
      <c r="CV498"/>
      <c r="CW498"/>
      <c r="CX498"/>
      <c r="CY498"/>
      <c r="CZ498"/>
    </row>
    <row r="499" spans="33:104">
      <c r="AG499" s="1"/>
      <c r="AH499" s="1"/>
      <c r="AI499" s="1"/>
      <c r="AJ499" s="1"/>
      <c r="AR499" s="1"/>
      <c r="AS499" s="1"/>
      <c r="AT499" s="1"/>
      <c r="AV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T499"/>
      <c r="CU499"/>
      <c r="CV499"/>
      <c r="CW499"/>
      <c r="CX499"/>
      <c r="CY499"/>
      <c r="CZ499"/>
    </row>
    <row r="500" spans="33:104">
      <c r="AG500" s="1"/>
      <c r="AH500" s="1"/>
      <c r="AI500" s="1"/>
      <c r="AJ500" s="1"/>
      <c r="AR500" s="1"/>
      <c r="AS500" s="1"/>
      <c r="AT500" s="1"/>
      <c r="AV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T500"/>
      <c r="CU500"/>
      <c r="CV500"/>
      <c r="CW500"/>
      <c r="CX500"/>
      <c r="CY500"/>
      <c r="CZ500"/>
    </row>
    <row r="501" spans="33:104">
      <c r="AG501" s="1"/>
      <c r="AH501" s="1"/>
      <c r="AI501" s="1"/>
      <c r="AJ501" s="1"/>
      <c r="AR501" s="1"/>
      <c r="AS501" s="1"/>
      <c r="AT501" s="1"/>
      <c r="AV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T501"/>
      <c r="CU501"/>
      <c r="CV501"/>
      <c r="CW501"/>
      <c r="CX501"/>
      <c r="CY501"/>
      <c r="CZ501"/>
    </row>
    <row r="502" spans="33:104">
      <c r="AG502" s="1"/>
      <c r="AH502" s="1"/>
      <c r="AI502" s="1"/>
      <c r="AJ502" s="1"/>
      <c r="AR502" s="1"/>
      <c r="AS502" s="1"/>
      <c r="AT502" s="1"/>
      <c r="AV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T502"/>
      <c r="CU502"/>
      <c r="CV502"/>
      <c r="CW502"/>
      <c r="CX502"/>
      <c r="CY502"/>
      <c r="CZ502"/>
    </row>
    <row r="503" spans="33:104">
      <c r="AG503" s="1"/>
      <c r="AH503" s="1"/>
      <c r="AI503" s="1"/>
      <c r="AJ503" s="1"/>
      <c r="AR503" s="1"/>
      <c r="AS503" s="1"/>
      <c r="AT503" s="1"/>
      <c r="AV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T503"/>
      <c r="CU503"/>
      <c r="CV503"/>
      <c r="CW503"/>
      <c r="CX503"/>
      <c r="CY503"/>
      <c r="CZ503"/>
    </row>
    <row r="504" spans="33:104">
      <c r="AG504" s="1"/>
      <c r="AH504" s="1"/>
      <c r="AI504" s="1"/>
      <c r="AJ504" s="1"/>
      <c r="AR504" s="1"/>
      <c r="AS504" s="1"/>
      <c r="AT504" s="1"/>
      <c r="AV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T504"/>
      <c r="CU504"/>
      <c r="CV504"/>
      <c r="CW504"/>
      <c r="CX504"/>
      <c r="CY504"/>
      <c r="CZ504"/>
    </row>
    <row r="505" spans="33:104">
      <c r="AG505" s="1"/>
      <c r="AH505" s="1"/>
      <c r="AI505" s="1"/>
      <c r="AJ505" s="1"/>
      <c r="AR505" s="1"/>
      <c r="AS505" s="1"/>
      <c r="AT505" s="1"/>
      <c r="AV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T505"/>
      <c r="CU505"/>
      <c r="CV505"/>
      <c r="CW505"/>
      <c r="CX505"/>
      <c r="CY505"/>
      <c r="CZ505"/>
    </row>
    <row r="506" spans="33:104">
      <c r="AG506" s="1"/>
      <c r="AH506" s="1"/>
      <c r="AI506" s="1"/>
      <c r="AJ506" s="1"/>
      <c r="AR506" s="1"/>
      <c r="AS506" s="1"/>
      <c r="AT506" s="1"/>
      <c r="AV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T506"/>
      <c r="CU506"/>
      <c r="CV506"/>
      <c r="CW506"/>
      <c r="CX506"/>
      <c r="CY506"/>
      <c r="CZ506"/>
    </row>
    <row r="507" spans="33:104">
      <c r="AG507" s="1"/>
      <c r="AH507" s="1"/>
      <c r="AI507" s="1"/>
      <c r="AJ507" s="1"/>
      <c r="AR507" s="1"/>
      <c r="AS507" s="1"/>
      <c r="AT507" s="1"/>
      <c r="AV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T507"/>
      <c r="CU507"/>
      <c r="CV507"/>
      <c r="CW507"/>
      <c r="CX507"/>
      <c r="CY507"/>
      <c r="CZ507"/>
    </row>
    <row r="508" spans="33:104">
      <c r="AG508" s="1"/>
      <c r="AH508" s="1"/>
      <c r="AI508" s="1"/>
      <c r="AJ508" s="1"/>
      <c r="AR508" s="1"/>
      <c r="AS508" s="1"/>
      <c r="AT508" s="1"/>
      <c r="AV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T508"/>
      <c r="CU508"/>
      <c r="CV508"/>
      <c r="CW508"/>
      <c r="CX508"/>
      <c r="CY508"/>
      <c r="CZ508"/>
    </row>
    <row r="509" spans="33:104">
      <c r="AG509" s="1"/>
      <c r="AH509" s="1"/>
      <c r="AI509" s="1"/>
      <c r="AJ509" s="1"/>
      <c r="AR509" s="1"/>
      <c r="AS509" s="1"/>
      <c r="AT509" s="1"/>
      <c r="AV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T509"/>
      <c r="CU509"/>
      <c r="CV509"/>
      <c r="CW509"/>
      <c r="CX509"/>
      <c r="CY509"/>
      <c r="CZ509"/>
    </row>
    <row r="510" spans="33:104">
      <c r="AG510" s="1"/>
      <c r="AH510" s="1"/>
      <c r="AI510" s="1"/>
      <c r="AJ510" s="1"/>
      <c r="AR510" s="1"/>
      <c r="AS510" s="1"/>
      <c r="AT510" s="1"/>
      <c r="AV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T510"/>
      <c r="CU510"/>
      <c r="CV510"/>
      <c r="CW510"/>
      <c r="CX510"/>
      <c r="CY510"/>
      <c r="CZ510"/>
    </row>
    <row r="511" spans="33:104">
      <c r="AG511" s="1"/>
      <c r="AH511" s="1"/>
      <c r="AI511" s="1"/>
      <c r="AJ511" s="1"/>
      <c r="AR511" s="1"/>
      <c r="AS511" s="1"/>
      <c r="AT511" s="1"/>
      <c r="AV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T511"/>
      <c r="CU511"/>
      <c r="CV511"/>
      <c r="CW511"/>
      <c r="CX511"/>
      <c r="CY511"/>
      <c r="CZ511"/>
    </row>
    <row r="512" spans="33:104">
      <c r="AG512" s="1"/>
      <c r="AH512" s="1"/>
      <c r="AI512" s="1"/>
      <c r="AJ512" s="1"/>
      <c r="AR512" s="1"/>
      <c r="AS512" s="1"/>
      <c r="AT512" s="1"/>
      <c r="AV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T512"/>
      <c r="CU512"/>
      <c r="CV512"/>
      <c r="CW512"/>
      <c r="CX512"/>
      <c r="CY512"/>
      <c r="CZ512"/>
    </row>
    <row r="513" spans="33:104">
      <c r="AG513" s="1"/>
      <c r="AH513" s="1"/>
      <c r="AI513" s="1"/>
      <c r="AJ513" s="1"/>
      <c r="AR513" s="1"/>
      <c r="AS513" s="1"/>
      <c r="AT513" s="1"/>
      <c r="AV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T513"/>
      <c r="CU513"/>
      <c r="CV513"/>
      <c r="CW513"/>
      <c r="CX513"/>
      <c r="CY513"/>
      <c r="CZ513"/>
    </row>
    <row r="514" spans="33:104">
      <c r="AG514" s="1"/>
      <c r="AH514" s="1"/>
      <c r="AI514" s="1"/>
      <c r="AJ514" s="1"/>
      <c r="AR514" s="1"/>
      <c r="AS514" s="1"/>
      <c r="AT514" s="1"/>
      <c r="AV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T514"/>
      <c r="CU514"/>
      <c r="CV514"/>
      <c r="CW514"/>
      <c r="CX514"/>
      <c r="CY514"/>
      <c r="CZ514"/>
    </row>
    <row r="515" spans="33:104">
      <c r="AG515" s="1"/>
      <c r="AH515" s="1"/>
      <c r="AI515" s="1"/>
      <c r="AJ515" s="1"/>
      <c r="AR515" s="1"/>
      <c r="AS515" s="1"/>
      <c r="AT515" s="1"/>
      <c r="AV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T515"/>
      <c r="CU515"/>
      <c r="CV515"/>
      <c r="CW515"/>
      <c r="CX515"/>
      <c r="CY515"/>
      <c r="CZ515"/>
    </row>
    <row r="516" spans="33:104">
      <c r="AG516" s="1"/>
      <c r="AH516" s="1"/>
      <c r="AI516" s="1"/>
      <c r="AJ516" s="1"/>
      <c r="AR516" s="1"/>
      <c r="AS516" s="1"/>
      <c r="AT516" s="1"/>
      <c r="AV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T516"/>
      <c r="CU516"/>
      <c r="CV516"/>
      <c r="CW516"/>
      <c r="CX516"/>
      <c r="CY516"/>
      <c r="CZ516"/>
    </row>
    <row r="517" spans="33:104">
      <c r="AG517" s="1"/>
      <c r="AH517" s="1"/>
      <c r="AI517" s="1"/>
      <c r="AJ517" s="1"/>
      <c r="AR517" s="1"/>
      <c r="AS517" s="1"/>
      <c r="AT517" s="1"/>
      <c r="AV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T517"/>
      <c r="CU517"/>
      <c r="CV517"/>
      <c r="CW517"/>
      <c r="CX517"/>
      <c r="CY517"/>
      <c r="CZ517"/>
    </row>
    <row r="518" spans="33:104">
      <c r="AG518" s="1"/>
      <c r="AH518" s="1"/>
      <c r="AI518" s="1"/>
      <c r="AJ518" s="1"/>
      <c r="AR518" s="1"/>
      <c r="AS518" s="1"/>
      <c r="AT518" s="1"/>
      <c r="AV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T518"/>
      <c r="CU518"/>
      <c r="CV518"/>
      <c r="CW518"/>
      <c r="CX518"/>
      <c r="CY518"/>
      <c r="CZ518"/>
    </row>
    <row r="519" spans="33:104">
      <c r="AG519" s="1"/>
      <c r="AH519" s="1"/>
      <c r="AI519" s="1"/>
      <c r="AJ519" s="1"/>
      <c r="AR519" s="1"/>
      <c r="AS519" s="1"/>
      <c r="AT519" s="1"/>
      <c r="AV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T519"/>
      <c r="CU519"/>
      <c r="CV519"/>
      <c r="CW519"/>
      <c r="CX519"/>
      <c r="CY519"/>
      <c r="CZ519"/>
    </row>
    <row r="520" spans="33:104">
      <c r="AG520" s="1"/>
      <c r="AH520" s="1"/>
      <c r="AI520" s="1"/>
      <c r="AJ520" s="1"/>
      <c r="AR520" s="1"/>
      <c r="AS520" s="1"/>
      <c r="AT520" s="1"/>
      <c r="AV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T520"/>
      <c r="CU520"/>
      <c r="CV520"/>
      <c r="CW520"/>
      <c r="CX520"/>
      <c r="CY520"/>
      <c r="CZ520"/>
    </row>
    <row r="521" spans="33:104">
      <c r="AG521" s="1"/>
      <c r="AH521" s="1"/>
      <c r="AI521" s="1"/>
      <c r="AJ521" s="1"/>
      <c r="AR521" s="1"/>
      <c r="AS521" s="1"/>
      <c r="AT521" s="1"/>
      <c r="AV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T521"/>
      <c r="CU521"/>
      <c r="CV521"/>
      <c r="CW521"/>
      <c r="CX521"/>
      <c r="CY521"/>
      <c r="CZ521"/>
    </row>
    <row r="522" spans="33:104">
      <c r="AG522" s="1"/>
      <c r="AH522" s="1"/>
      <c r="AI522" s="1"/>
      <c r="AJ522" s="1"/>
      <c r="AR522" s="1"/>
      <c r="AS522" s="1"/>
      <c r="AT522" s="1"/>
      <c r="AV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T522"/>
      <c r="CU522"/>
      <c r="CV522"/>
      <c r="CW522"/>
      <c r="CX522"/>
      <c r="CY522"/>
      <c r="CZ522"/>
    </row>
    <row r="523" spans="33:104">
      <c r="AG523" s="1"/>
      <c r="AH523" s="1"/>
      <c r="AI523" s="1"/>
      <c r="AJ523" s="1"/>
      <c r="AR523" s="1"/>
      <c r="AS523" s="1"/>
      <c r="AT523" s="1"/>
      <c r="AV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T523"/>
      <c r="CU523"/>
      <c r="CV523"/>
      <c r="CW523"/>
      <c r="CX523"/>
      <c r="CY523"/>
      <c r="CZ523"/>
    </row>
    <row r="524" spans="33:104">
      <c r="AG524" s="1"/>
      <c r="AH524" s="1"/>
      <c r="AI524" s="1"/>
      <c r="AJ524" s="1"/>
      <c r="AR524" s="1"/>
      <c r="AS524" s="1"/>
      <c r="AT524" s="1"/>
      <c r="AV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T524"/>
      <c r="CU524"/>
      <c r="CV524"/>
      <c r="CW524"/>
      <c r="CX524"/>
      <c r="CY524"/>
      <c r="CZ524"/>
    </row>
    <row r="525" spans="33:104">
      <c r="AG525" s="1"/>
      <c r="AH525" s="1"/>
      <c r="AI525" s="1"/>
      <c r="AJ525" s="1"/>
      <c r="AR525" s="1"/>
      <c r="AS525" s="1"/>
      <c r="AT525" s="1"/>
      <c r="AV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T525"/>
      <c r="CU525"/>
      <c r="CV525"/>
      <c r="CW525"/>
      <c r="CX525"/>
      <c r="CY525"/>
      <c r="CZ525"/>
    </row>
    <row r="526" spans="33:104">
      <c r="AG526" s="1"/>
      <c r="AH526" s="1"/>
      <c r="AI526" s="1"/>
      <c r="AJ526" s="1"/>
      <c r="AR526" s="1"/>
      <c r="AS526" s="1"/>
      <c r="AT526" s="1"/>
      <c r="AV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T526"/>
      <c r="CU526"/>
      <c r="CV526"/>
      <c r="CW526"/>
      <c r="CX526"/>
      <c r="CY526"/>
      <c r="CZ526"/>
    </row>
    <row r="527" spans="33:104">
      <c r="AG527" s="1"/>
      <c r="AH527" s="1"/>
      <c r="AI527" s="1"/>
      <c r="AJ527" s="1"/>
      <c r="AR527" s="1"/>
      <c r="AS527" s="1"/>
      <c r="AT527" s="1"/>
      <c r="AV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T527"/>
      <c r="CU527"/>
      <c r="CV527"/>
      <c r="CW527"/>
      <c r="CX527"/>
      <c r="CY527"/>
      <c r="CZ527"/>
    </row>
    <row r="528" spans="33:104">
      <c r="AG528" s="1"/>
      <c r="AH528" s="1"/>
      <c r="AI528" s="1"/>
      <c r="AJ528" s="1"/>
      <c r="AR528" s="1"/>
      <c r="AS528" s="1"/>
      <c r="AT528" s="1"/>
      <c r="AV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T528"/>
      <c r="CU528"/>
      <c r="CV528"/>
      <c r="CW528"/>
      <c r="CX528"/>
      <c r="CY528"/>
      <c r="CZ528"/>
    </row>
    <row r="529" spans="33:104">
      <c r="AG529" s="1"/>
      <c r="AH529" s="1"/>
      <c r="AI529" s="1"/>
      <c r="AJ529" s="1"/>
      <c r="AR529" s="1"/>
      <c r="AS529" s="1"/>
      <c r="AT529" s="1"/>
      <c r="AV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T529"/>
      <c r="CU529"/>
      <c r="CV529"/>
      <c r="CW529"/>
      <c r="CX529"/>
      <c r="CY529"/>
      <c r="CZ529"/>
    </row>
    <row r="530" spans="33:104">
      <c r="AG530" s="1"/>
      <c r="AH530" s="1"/>
      <c r="AI530" s="1"/>
      <c r="AJ530" s="1"/>
      <c r="AR530" s="1"/>
      <c r="AS530" s="1"/>
      <c r="AT530" s="1"/>
      <c r="AV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T530"/>
      <c r="CU530"/>
      <c r="CV530"/>
      <c r="CW530"/>
      <c r="CX530"/>
      <c r="CY530"/>
      <c r="CZ530"/>
    </row>
    <row r="531" spans="33:104">
      <c r="AG531" s="1"/>
      <c r="AH531" s="1"/>
      <c r="AI531" s="1"/>
      <c r="AJ531" s="1"/>
      <c r="AR531" s="1"/>
      <c r="AS531" s="1"/>
      <c r="AT531" s="1"/>
      <c r="AV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T531"/>
      <c r="CU531"/>
      <c r="CV531"/>
      <c r="CW531"/>
      <c r="CX531"/>
      <c r="CY531"/>
      <c r="CZ531"/>
    </row>
    <row r="532" spans="33:104">
      <c r="AG532" s="1"/>
      <c r="AH532" s="1"/>
      <c r="AI532" s="1"/>
      <c r="AJ532" s="1"/>
      <c r="AR532" s="1"/>
      <c r="AS532" s="1"/>
      <c r="AT532" s="1"/>
      <c r="AV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T532"/>
      <c r="CU532"/>
      <c r="CV532"/>
      <c r="CW532"/>
      <c r="CX532"/>
      <c r="CY532"/>
      <c r="CZ532"/>
    </row>
    <row r="533" spans="33:104">
      <c r="AG533" s="1"/>
      <c r="AH533" s="1"/>
      <c r="AI533" s="1"/>
      <c r="AJ533" s="1"/>
      <c r="AR533" s="1"/>
      <c r="AS533" s="1"/>
      <c r="AT533" s="1"/>
      <c r="AV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T533"/>
      <c r="CU533"/>
      <c r="CV533"/>
      <c r="CW533"/>
      <c r="CX533"/>
      <c r="CY533"/>
      <c r="CZ533"/>
    </row>
    <row r="534" spans="33:104">
      <c r="AG534" s="1"/>
      <c r="AH534" s="1"/>
      <c r="AI534" s="1"/>
      <c r="AJ534" s="1"/>
      <c r="AR534" s="1"/>
      <c r="AS534" s="1"/>
      <c r="AT534" s="1"/>
      <c r="AV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T534"/>
      <c r="CU534"/>
      <c r="CV534"/>
      <c r="CW534"/>
      <c r="CX534"/>
      <c r="CY534"/>
      <c r="CZ534"/>
    </row>
    <row r="535" spans="33:104">
      <c r="AG535" s="1"/>
      <c r="AH535" s="1"/>
      <c r="AI535" s="1"/>
      <c r="AJ535" s="1"/>
      <c r="AR535" s="1"/>
      <c r="AS535" s="1"/>
      <c r="AT535" s="1"/>
      <c r="AV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T535"/>
      <c r="CU535"/>
      <c r="CV535"/>
      <c r="CW535"/>
      <c r="CX535"/>
      <c r="CY535"/>
      <c r="CZ535"/>
    </row>
    <row r="536" spans="33:104">
      <c r="AG536" s="1"/>
      <c r="AH536" s="1"/>
      <c r="AI536" s="1"/>
      <c r="AJ536" s="1"/>
      <c r="AR536" s="1"/>
      <c r="AS536" s="1"/>
      <c r="AT536" s="1"/>
      <c r="AV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T536"/>
      <c r="CU536"/>
      <c r="CV536"/>
      <c r="CW536"/>
      <c r="CX536"/>
      <c r="CY536"/>
      <c r="CZ536"/>
    </row>
    <row r="537" spans="33:104">
      <c r="AG537" s="1"/>
      <c r="AH537" s="1"/>
      <c r="AI537" s="1"/>
      <c r="AJ537" s="1"/>
      <c r="AR537" s="1"/>
      <c r="AS537" s="1"/>
      <c r="AT537" s="1"/>
      <c r="AV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T537"/>
      <c r="CU537"/>
      <c r="CV537"/>
      <c r="CW537"/>
      <c r="CX537"/>
      <c r="CY537"/>
      <c r="CZ537"/>
    </row>
    <row r="538" spans="33:104">
      <c r="AG538" s="1"/>
      <c r="AH538" s="1"/>
      <c r="AI538" s="1"/>
      <c r="AJ538" s="1"/>
      <c r="AR538" s="1"/>
      <c r="AS538" s="1"/>
      <c r="AT538" s="1"/>
      <c r="AV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T538"/>
      <c r="CU538"/>
      <c r="CV538"/>
      <c r="CW538"/>
      <c r="CX538"/>
      <c r="CY538"/>
      <c r="CZ538"/>
    </row>
    <row r="539" spans="33:104">
      <c r="AG539" s="1"/>
      <c r="AH539" s="1"/>
      <c r="AI539" s="1"/>
      <c r="AJ539" s="1"/>
      <c r="AR539" s="1"/>
      <c r="AS539" s="1"/>
      <c r="AT539" s="1"/>
      <c r="AV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T539"/>
      <c r="CU539"/>
      <c r="CV539"/>
      <c r="CW539"/>
      <c r="CX539"/>
      <c r="CY539"/>
      <c r="CZ539"/>
    </row>
    <row r="540" spans="33:104">
      <c r="AG540" s="1"/>
      <c r="AH540" s="1"/>
      <c r="AI540" s="1"/>
      <c r="AJ540" s="1"/>
      <c r="AR540" s="1"/>
      <c r="AS540" s="1"/>
      <c r="AT540" s="1"/>
      <c r="AV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T540"/>
      <c r="CU540"/>
      <c r="CV540"/>
      <c r="CW540"/>
      <c r="CX540"/>
      <c r="CY540"/>
      <c r="CZ540"/>
    </row>
    <row r="541" spans="33:104">
      <c r="AG541" s="1"/>
      <c r="AH541" s="1"/>
      <c r="AI541" s="1"/>
      <c r="AJ541" s="1"/>
      <c r="AR541" s="1"/>
      <c r="AS541" s="1"/>
      <c r="AT541" s="1"/>
      <c r="AV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T541"/>
      <c r="CU541"/>
      <c r="CV541"/>
      <c r="CW541"/>
      <c r="CX541"/>
      <c r="CY541"/>
      <c r="CZ541"/>
    </row>
    <row r="542" spans="33:104">
      <c r="AG542" s="1"/>
      <c r="AH542" s="1"/>
      <c r="AI542" s="1"/>
      <c r="AJ542" s="1"/>
      <c r="AR542" s="1"/>
      <c r="AS542" s="1"/>
      <c r="AT542" s="1"/>
      <c r="AV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T542"/>
      <c r="CU542"/>
      <c r="CV542"/>
      <c r="CW542"/>
      <c r="CX542"/>
      <c r="CY542"/>
      <c r="CZ542"/>
    </row>
    <row r="543" spans="33:104">
      <c r="AG543" s="1"/>
      <c r="AH543" s="1"/>
      <c r="AI543" s="1"/>
      <c r="AJ543" s="1"/>
      <c r="AR543" s="1"/>
      <c r="AS543" s="1"/>
      <c r="AT543" s="1"/>
      <c r="AV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T543"/>
      <c r="CU543"/>
      <c r="CV543"/>
      <c r="CW543"/>
      <c r="CX543"/>
      <c r="CY543"/>
      <c r="CZ543"/>
    </row>
    <row r="544" spans="33:104">
      <c r="AG544" s="1"/>
      <c r="AH544" s="1"/>
      <c r="AI544" s="1"/>
      <c r="AJ544" s="1"/>
      <c r="AR544" s="1"/>
      <c r="AS544" s="1"/>
      <c r="AT544" s="1"/>
      <c r="AV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T544"/>
      <c r="CU544"/>
      <c r="CV544"/>
      <c r="CW544"/>
      <c r="CX544"/>
      <c r="CY544"/>
      <c r="CZ544"/>
    </row>
    <row r="545" spans="33:104">
      <c r="AG545" s="1"/>
      <c r="AH545" s="1"/>
      <c r="AI545" s="1"/>
      <c r="AJ545" s="1"/>
      <c r="AR545" s="1"/>
      <c r="AS545" s="1"/>
      <c r="AT545" s="1"/>
      <c r="AV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T545"/>
      <c r="CU545"/>
      <c r="CV545"/>
      <c r="CW545"/>
      <c r="CX545"/>
      <c r="CY545"/>
      <c r="CZ545"/>
    </row>
    <row r="546" spans="33:104">
      <c r="AG546" s="1"/>
      <c r="AH546" s="1"/>
      <c r="AI546" s="1"/>
      <c r="AJ546" s="1"/>
      <c r="AR546" s="1"/>
      <c r="AS546" s="1"/>
      <c r="AT546" s="1"/>
      <c r="AV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T546"/>
      <c r="CU546"/>
      <c r="CV546"/>
      <c r="CW546"/>
      <c r="CX546"/>
      <c r="CY546"/>
      <c r="CZ546"/>
    </row>
    <row r="547" spans="33:104">
      <c r="AG547" s="1"/>
      <c r="AH547" s="1"/>
      <c r="AI547" s="1"/>
      <c r="AJ547" s="1"/>
      <c r="AR547" s="1"/>
      <c r="AS547" s="1"/>
      <c r="AT547" s="1"/>
      <c r="AV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T547"/>
      <c r="CU547"/>
      <c r="CV547"/>
      <c r="CW547"/>
      <c r="CX547"/>
      <c r="CY547"/>
      <c r="CZ547"/>
    </row>
    <row r="548" spans="33:104">
      <c r="AG548" s="1"/>
      <c r="AH548" s="1"/>
      <c r="AI548" s="1"/>
      <c r="AJ548" s="1"/>
      <c r="AR548" s="1"/>
      <c r="AS548" s="1"/>
      <c r="AT548" s="1"/>
      <c r="AV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T548"/>
      <c r="CU548"/>
      <c r="CV548"/>
      <c r="CW548"/>
      <c r="CX548"/>
      <c r="CY548"/>
      <c r="CZ548"/>
    </row>
    <row r="549" spans="33:104">
      <c r="AG549" s="1"/>
      <c r="AH549" s="1"/>
      <c r="AI549" s="1"/>
      <c r="AJ549" s="1"/>
      <c r="AR549" s="1"/>
      <c r="AS549" s="1"/>
      <c r="AT549" s="1"/>
      <c r="AV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T549"/>
      <c r="CU549"/>
      <c r="CV549"/>
      <c r="CW549"/>
      <c r="CX549"/>
      <c r="CY549"/>
      <c r="CZ549"/>
    </row>
    <row r="550" spans="33:104">
      <c r="AG550" s="1"/>
      <c r="AH550" s="1"/>
      <c r="AI550" s="1"/>
      <c r="AJ550" s="1"/>
      <c r="AR550" s="1"/>
      <c r="AS550" s="1"/>
      <c r="AT550" s="1"/>
      <c r="AV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T550"/>
      <c r="CU550"/>
      <c r="CV550"/>
      <c r="CW550"/>
      <c r="CX550"/>
      <c r="CY550"/>
      <c r="CZ550"/>
    </row>
    <row r="551" spans="33:104">
      <c r="AG551" s="1"/>
      <c r="AH551" s="1"/>
      <c r="AI551" s="1"/>
      <c r="AJ551" s="1"/>
      <c r="AR551" s="1"/>
      <c r="AS551" s="1"/>
      <c r="AT551" s="1"/>
      <c r="AV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T551"/>
      <c r="CU551"/>
      <c r="CV551"/>
      <c r="CW551"/>
      <c r="CX551"/>
      <c r="CY551"/>
      <c r="CZ551"/>
    </row>
    <row r="552" spans="33:104">
      <c r="AG552" s="1"/>
      <c r="AH552" s="1"/>
      <c r="AI552" s="1"/>
      <c r="AJ552" s="1"/>
      <c r="AR552" s="1"/>
      <c r="AS552" s="1"/>
      <c r="AT552" s="1"/>
      <c r="AV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T552"/>
      <c r="CU552"/>
      <c r="CV552"/>
      <c r="CW552"/>
      <c r="CX552"/>
      <c r="CY552"/>
      <c r="CZ552"/>
    </row>
    <row r="553" spans="33:104">
      <c r="AG553" s="1"/>
      <c r="AH553" s="1"/>
      <c r="AI553" s="1"/>
      <c r="AJ553" s="1"/>
      <c r="AR553" s="1"/>
      <c r="AS553" s="1"/>
      <c r="AT553" s="1"/>
      <c r="AV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T553"/>
      <c r="CU553"/>
      <c r="CV553"/>
      <c r="CW553"/>
      <c r="CX553"/>
      <c r="CY553"/>
      <c r="CZ553"/>
    </row>
    <row r="554" spans="33:104">
      <c r="AG554" s="1"/>
      <c r="AH554" s="1"/>
      <c r="AI554" s="1"/>
      <c r="AJ554" s="1"/>
      <c r="AR554" s="1"/>
      <c r="AS554" s="1"/>
      <c r="AT554" s="1"/>
      <c r="AV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T554"/>
      <c r="CU554"/>
      <c r="CV554"/>
      <c r="CW554"/>
      <c r="CX554"/>
      <c r="CY554"/>
      <c r="CZ554"/>
    </row>
    <row r="555" spans="33:104">
      <c r="AG555" s="1"/>
      <c r="AH555" s="1"/>
      <c r="AI555" s="1"/>
      <c r="AJ555" s="1"/>
      <c r="AR555" s="1"/>
      <c r="AS555" s="1"/>
      <c r="AT555" s="1"/>
      <c r="AV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T555"/>
      <c r="CU555"/>
      <c r="CV555"/>
      <c r="CW555"/>
      <c r="CX555"/>
      <c r="CY555"/>
      <c r="CZ555"/>
    </row>
    <row r="556" spans="33:104">
      <c r="AG556" s="1"/>
      <c r="AH556" s="1"/>
      <c r="AI556" s="1"/>
      <c r="AJ556" s="1"/>
      <c r="AR556" s="1"/>
      <c r="AS556" s="1"/>
      <c r="AT556" s="1"/>
      <c r="AV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T556"/>
      <c r="CU556"/>
      <c r="CV556"/>
      <c r="CW556"/>
      <c r="CX556"/>
      <c r="CY556"/>
      <c r="CZ556"/>
    </row>
    <row r="557" spans="33:104">
      <c r="AG557" s="1"/>
      <c r="AH557" s="1"/>
      <c r="AI557" s="1"/>
      <c r="AJ557" s="1"/>
      <c r="AR557" s="1"/>
      <c r="AS557" s="1"/>
      <c r="AT557" s="1"/>
      <c r="AV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T557"/>
      <c r="CU557"/>
      <c r="CV557"/>
      <c r="CW557"/>
      <c r="CX557"/>
      <c r="CY557"/>
      <c r="CZ557"/>
    </row>
    <row r="558" spans="33:104">
      <c r="AG558" s="1"/>
      <c r="AH558" s="1"/>
      <c r="AI558" s="1"/>
      <c r="AJ558" s="1"/>
      <c r="AR558" s="1"/>
      <c r="AS558" s="1"/>
      <c r="AT558" s="1"/>
      <c r="AV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T558"/>
      <c r="CU558"/>
      <c r="CV558"/>
      <c r="CW558"/>
      <c r="CX558"/>
      <c r="CY558"/>
      <c r="CZ558"/>
    </row>
    <row r="559" spans="33:104">
      <c r="AG559" s="1"/>
      <c r="AH559" s="1"/>
      <c r="AI559" s="1"/>
      <c r="AJ559" s="1"/>
      <c r="AR559" s="1"/>
      <c r="AS559" s="1"/>
      <c r="AT559" s="1"/>
      <c r="AV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T559"/>
      <c r="CU559"/>
      <c r="CV559"/>
      <c r="CW559"/>
      <c r="CX559"/>
      <c r="CY559"/>
      <c r="CZ559"/>
    </row>
    <row r="560" spans="33:104">
      <c r="AG560" s="1"/>
      <c r="AH560" s="1"/>
      <c r="AI560" s="1"/>
      <c r="AJ560" s="1"/>
      <c r="AR560" s="1"/>
      <c r="AS560" s="1"/>
      <c r="AT560" s="1"/>
      <c r="AV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T560"/>
      <c r="CU560"/>
      <c r="CV560"/>
      <c r="CW560"/>
      <c r="CX560"/>
      <c r="CY560"/>
      <c r="CZ560"/>
    </row>
    <row r="561" spans="33:104">
      <c r="AG561" s="1"/>
      <c r="AH561" s="1"/>
      <c r="AI561" s="1"/>
      <c r="AJ561" s="1"/>
      <c r="AR561" s="1"/>
      <c r="AS561" s="1"/>
      <c r="AT561" s="1"/>
      <c r="AV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T561"/>
      <c r="CU561"/>
      <c r="CV561"/>
      <c r="CW561"/>
      <c r="CX561"/>
      <c r="CY561"/>
      <c r="CZ561"/>
    </row>
    <row r="562" spans="33:104">
      <c r="AG562" s="1"/>
      <c r="AH562" s="1"/>
      <c r="AI562" s="1"/>
      <c r="AJ562" s="1"/>
      <c r="AR562" s="1"/>
      <c r="AS562" s="1"/>
      <c r="AT562" s="1"/>
      <c r="AV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T562"/>
      <c r="CU562"/>
      <c r="CV562"/>
      <c r="CW562"/>
      <c r="CX562"/>
      <c r="CY562"/>
      <c r="CZ562"/>
    </row>
    <row r="563" spans="33:104">
      <c r="AG563" s="1"/>
      <c r="AH563" s="1"/>
      <c r="AI563" s="1"/>
      <c r="AJ563" s="1"/>
      <c r="AR563" s="1"/>
      <c r="AS563" s="1"/>
      <c r="AT563" s="1"/>
      <c r="AV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T563"/>
      <c r="CU563"/>
      <c r="CV563"/>
      <c r="CW563"/>
      <c r="CX563"/>
      <c r="CY563"/>
      <c r="CZ563"/>
    </row>
    <row r="564" spans="33:104">
      <c r="AG564" s="1"/>
      <c r="AH564" s="1"/>
      <c r="AI564" s="1"/>
      <c r="AJ564" s="1"/>
      <c r="AR564" s="1"/>
      <c r="AS564" s="1"/>
      <c r="AT564" s="1"/>
      <c r="AV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T564"/>
      <c r="CU564"/>
      <c r="CV564"/>
      <c r="CW564"/>
      <c r="CX564"/>
      <c r="CY564"/>
      <c r="CZ564"/>
    </row>
    <row r="565" spans="33:104">
      <c r="AG565" s="1"/>
      <c r="AH565" s="1"/>
      <c r="AI565" s="1"/>
      <c r="AJ565" s="1"/>
      <c r="AR565" s="1"/>
      <c r="AS565" s="1"/>
      <c r="AT565" s="1"/>
      <c r="AV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T565"/>
      <c r="CU565"/>
      <c r="CV565"/>
      <c r="CW565"/>
      <c r="CX565"/>
      <c r="CY565"/>
      <c r="CZ565"/>
    </row>
    <row r="566" spans="33:104">
      <c r="AG566" s="1"/>
      <c r="AH566" s="1"/>
      <c r="AI566" s="1"/>
      <c r="AJ566" s="1"/>
      <c r="AR566" s="1"/>
      <c r="AS566" s="1"/>
      <c r="AT566" s="1"/>
      <c r="AV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T566"/>
      <c r="CU566"/>
      <c r="CV566"/>
      <c r="CW566"/>
      <c r="CX566"/>
      <c r="CY566"/>
      <c r="CZ566"/>
    </row>
    <row r="567" spans="33:104">
      <c r="AG567" s="1"/>
      <c r="AH567" s="1"/>
      <c r="AI567" s="1"/>
      <c r="AJ567" s="1"/>
      <c r="AR567" s="1"/>
      <c r="AS567" s="1"/>
      <c r="AT567" s="1"/>
      <c r="AV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T567"/>
      <c r="CU567"/>
      <c r="CV567"/>
      <c r="CW567"/>
      <c r="CX567"/>
      <c r="CY567"/>
      <c r="CZ567"/>
    </row>
    <row r="568" spans="33:104">
      <c r="AG568" s="1"/>
      <c r="AH568" s="1"/>
      <c r="AI568" s="1"/>
      <c r="AJ568" s="1"/>
      <c r="AR568" s="1"/>
      <c r="AS568" s="1"/>
      <c r="AT568" s="1"/>
      <c r="AV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T568"/>
      <c r="CU568"/>
      <c r="CV568"/>
      <c r="CW568"/>
      <c r="CX568"/>
      <c r="CY568"/>
      <c r="CZ568"/>
    </row>
    <row r="569" spans="33:104">
      <c r="AG569" s="1"/>
      <c r="AH569" s="1"/>
      <c r="AI569" s="1"/>
      <c r="AJ569" s="1"/>
      <c r="AR569" s="1"/>
      <c r="AS569" s="1"/>
      <c r="AT569" s="1"/>
      <c r="AV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T569"/>
      <c r="CU569"/>
      <c r="CV569"/>
      <c r="CW569"/>
      <c r="CX569"/>
      <c r="CY569"/>
      <c r="CZ569"/>
    </row>
    <row r="570" spans="33:104">
      <c r="AG570" s="1"/>
      <c r="AH570" s="1"/>
      <c r="AI570" s="1"/>
      <c r="AJ570" s="1"/>
      <c r="AR570" s="1"/>
      <c r="AS570" s="1"/>
      <c r="AT570" s="1"/>
      <c r="AV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T570"/>
      <c r="CU570"/>
      <c r="CV570"/>
      <c r="CW570"/>
      <c r="CX570"/>
      <c r="CY570"/>
      <c r="CZ570"/>
    </row>
    <row r="571" spans="33:104">
      <c r="AG571" s="1"/>
      <c r="AH571" s="1"/>
      <c r="AI571" s="1"/>
      <c r="AJ571" s="1"/>
      <c r="AR571" s="1"/>
      <c r="AS571" s="1"/>
      <c r="AT571" s="1"/>
      <c r="AV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T571"/>
      <c r="CU571"/>
      <c r="CV571"/>
      <c r="CW571"/>
      <c r="CX571"/>
      <c r="CY571"/>
      <c r="CZ571"/>
    </row>
    <row r="572" spans="33:104">
      <c r="AG572" s="1"/>
      <c r="AH572" s="1"/>
      <c r="AI572" s="1"/>
      <c r="AJ572" s="1"/>
      <c r="AR572" s="1"/>
      <c r="AS572" s="1"/>
      <c r="AT572" s="1"/>
      <c r="AV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T572"/>
      <c r="CU572"/>
      <c r="CV572"/>
      <c r="CW572"/>
      <c r="CX572"/>
      <c r="CY572"/>
      <c r="CZ572"/>
    </row>
    <row r="573" spans="33:104">
      <c r="AG573" s="1"/>
      <c r="AH573" s="1"/>
      <c r="AI573" s="1"/>
      <c r="AJ573" s="1"/>
      <c r="AR573" s="1"/>
      <c r="AS573" s="1"/>
      <c r="AT573" s="1"/>
      <c r="AV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T573"/>
      <c r="CU573"/>
      <c r="CV573"/>
      <c r="CW573"/>
      <c r="CX573"/>
      <c r="CY573"/>
      <c r="CZ573"/>
    </row>
    <row r="574" spans="33:104">
      <c r="AG574" s="1"/>
      <c r="AH574" s="1"/>
      <c r="AI574" s="1"/>
      <c r="AJ574" s="1"/>
      <c r="AR574" s="1"/>
      <c r="AS574" s="1"/>
      <c r="AT574" s="1"/>
      <c r="AV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T574"/>
      <c r="CU574"/>
      <c r="CV574"/>
      <c r="CW574"/>
      <c r="CX574"/>
      <c r="CY574"/>
      <c r="CZ574"/>
    </row>
    <row r="575" spans="33:104">
      <c r="AG575" s="1"/>
      <c r="AH575" s="1"/>
      <c r="AI575" s="1"/>
      <c r="AJ575" s="1"/>
      <c r="AR575" s="1"/>
      <c r="AS575" s="1"/>
      <c r="AT575" s="1"/>
      <c r="AV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T575"/>
      <c r="CU575"/>
      <c r="CV575"/>
      <c r="CW575"/>
      <c r="CX575"/>
      <c r="CY575"/>
      <c r="CZ575"/>
    </row>
    <row r="576" spans="33:104">
      <c r="AG576" s="1"/>
      <c r="AH576" s="1"/>
      <c r="AI576" s="1"/>
      <c r="AJ576" s="1"/>
      <c r="AR576" s="1"/>
      <c r="AS576" s="1"/>
      <c r="AT576" s="1"/>
      <c r="AV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T576"/>
      <c r="CU576"/>
      <c r="CV576"/>
      <c r="CW576"/>
      <c r="CX576"/>
      <c r="CY576"/>
      <c r="CZ576"/>
    </row>
    <row r="577" spans="33:104">
      <c r="AG577" s="1"/>
      <c r="AH577" s="1"/>
      <c r="AI577" s="1"/>
      <c r="AJ577" s="1"/>
      <c r="AR577" s="1"/>
      <c r="AS577" s="1"/>
      <c r="AT577" s="1"/>
      <c r="AV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T577"/>
      <c r="CU577"/>
      <c r="CV577"/>
      <c r="CW577"/>
      <c r="CX577"/>
      <c r="CY577"/>
      <c r="CZ577"/>
    </row>
    <row r="578" spans="33:104">
      <c r="AG578" s="1"/>
      <c r="AH578" s="1"/>
      <c r="AI578" s="1"/>
      <c r="AJ578" s="1"/>
      <c r="AR578" s="1"/>
      <c r="AS578" s="1"/>
      <c r="AT578" s="1"/>
      <c r="AV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T578"/>
      <c r="CU578"/>
      <c r="CV578"/>
      <c r="CW578"/>
      <c r="CX578"/>
      <c r="CY578"/>
      <c r="CZ578"/>
    </row>
    <row r="579" spans="33:104">
      <c r="AG579" s="1"/>
      <c r="AH579" s="1"/>
      <c r="AI579" s="1"/>
      <c r="AJ579" s="1"/>
      <c r="AR579" s="1"/>
      <c r="AS579" s="1"/>
      <c r="AT579" s="1"/>
      <c r="AV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T579"/>
      <c r="CU579"/>
      <c r="CV579"/>
      <c r="CW579"/>
      <c r="CX579"/>
      <c r="CY579"/>
      <c r="CZ579"/>
    </row>
    <row r="580" spans="33:104">
      <c r="AG580" s="1"/>
      <c r="AH580" s="1"/>
      <c r="AI580" s="1"/>
      <c r="AJ580" s="1"/>
      <c r="AR580" s="1"/>
      <c r="AS580" s="1"/>
      <c r="AT580" s="1"/>
      <c r="AV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T580"/>
      <c r="CU580"/>
      <c r="CV580"/>
      <c r="CW580"/>
      <c r="CX580"/>
      <c r="CY580"/>
      <c r="CZ580"/>
    </row>
    <row r="581" spans="33:104">
      <c r="AG581" s="1"/>
      <c r="AH581" s="1"/>
      <c r="AI581" s="1"/>
      <c r="AJ581" s="1"/>
      <c r="AR581" s="1"/>
      <c r="AS581" s="1"/>
      <c r="AT581" s="1"/>
      <c r="AV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T581"/>
      <c r="CU581"/>
      <c r="CV581"/>
      <c r="CW581"/>
      <c r="CX581"/>
      <c r="CY581"/>
      <c r="CZ581"/>
    </row>
    <row r="582" spans="33:104">
      <c r="AG582" s="1"/>
      <c r="AH582" s="1"/>
      <c r="AI582" s="1"/>
      <c r="AJ582" s="1"/>
      <c r="AR582" s="1"/>
      <c r="AS582" s="1"/>
      <c r="AT582" s="1"/>
      <c r="AV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T582"/>
      <c r="CU582"/>
      <c r="CV582"/>
      <c r="CW582"/>
      <c r="CX582"/>
      <c r="CY582"/>
      <c r="CZ582"/>
    </row>
    <row r="583" spans="33:104">
      <c r="AG583" s="1"/>
      <c r="AH583" s="1"/>
      <c r="AI583" s="1"/>
      <c r="AJ583" s="1"/>
      <c r="AR583" s="1"/>
      <c r="AS583" s="1"/>
      <c r="AT583" s="1"/>
      <c r="AV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T583"/>
      <c r="CU583"/>
      <c r="CV583"/>
      <c r="CW583"/>
      <c r="CX583"/>
      <c r="CY583"/>
      <c r="CZ583"/>
    </row>
    <row r="584" spans="33:104">
      <c r="AG584" s="1"/>
      <c r="AH584" s="1"/>
      <c r="AI584" s="1"/>
      <c r="AJ584" s="1"/>
      <c r="AR584" s="1"/>
      <c r="AS584" s="1"/>
      <c r="AT584" s="1"/>
      <c r="AV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T584"/>
      <c r="CU584"/>
      <c r="CV584"/>
      <c r="CW584"/>
      <c r="CX584"/>
      <c r="CY584"/>
      <c r="CZ584"/>
    </row>
    <row r="585" spans="33:104">
      <c r="AG585" s="1"/>
      <c r="AH585" s="1"/>
      <c r="AI585" s="1"/>
      <c r="AJ585" s="1"/>
      <c r="AR585" s="1"/>
      <c r="AS585" s="1"/>
      <c r="AT585" s="1"/>
      <c r="AV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T585"/>
      <c r="CU585"/>
      <c r="CV585"/>
      <c r="CW585"/>
      <c r="CX585"/>
      <c r="CY585"/>
      <c r="CZ585"/>
    </row>
    <row r="586" spans="33:104">
      <c r="AG586" s="1"/>
      <c r="AH586" s="1"/>
      <c r="AI586" s="1"/>
      <c r="AJ586" s="1"/>
      <c r="AR586" s="1"/>
      <c r="AS586" s="1"/>
      <c r="AT586" s="1"/>
      <c r="AV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T586"/>
      <c r="CU586"/>
      <c r="CV586"/>
      <c r="CW586"/>
      <c r="CX586"/>
      <c r="CY586"/>
      <c r="CZ586"/>
    </row>
    <row r="587" spans="33:104">
      <c r="AG587" s="1"/>
      <c r="AH587" s="1"/>
      <c r="AI587" s="1"/>
      <c r="AJ587" s="1"/>
      <c r="AR587" s="1"/>
      <c r="AS587" s="1"/>
      <c r="AT587" s="1"/>
      <c r="AV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T587"/>
      <c r="CU587"/>
      <c r="CV587"/>
      <c r="CW587"/>
      <c r="CX587"/>
      <c r="CY587"/>
      <c r="CZ587"/>
    </row>
    <row r="588" spans="33:104">
      <c r="AG588" s="1"/>
      <c r="AH588" s="1"/>
      <c r="AI588" s="1"/>
      <c r="AJ588" s="1"/>
      <c r="AR588" s="1"/>
      <c r="AS588" s="1"/>
      <c r="AT588" s="1"/>
      <c r="AV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T588"/>
      <c r="CU588"/>
      <c r="CV588"/>
      <c r="CW588"/>
      <c r="CX588"/>
      <c r="CY588"/>
      <c r="CZ588"/>
    </row>
    <row r="589" spans="33:104">
      <c r="AG589" s="1"/>
      <c r="AH589" s="1"/>
      <c r="AI589" s="1"/>
      <c r="AJ589" s="1"/>
      <c r="AR589" s="1"/>
      <c r="AS589" s="1"/>
      <c r="AT589" s="1"/>
      <c r="AV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T589"/>
      <c r="CU589"/>
      <c r="CV589"/>
      <c r="CW589"/>
      <c r="CX589"/>
      <c r="CY589"/>
      <c r="CZ589"/>
    </row>
    <row r="590" spans="33:104">
      <c r="AG590" s="1"/>
      <c r="AH590" s="1"/>
      <c r="AI590" s="1"/>
      <c r="AJ590" s="1"/>
      <c r="AR590" s="1"/>
      <c r="AS590" s="1"/>
      <c r="AT590" s="1"/>
      <c r="AV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T590"/>
      <c r="CU590"/>
      <c r="CV590"/>
      <c r="CW590"/>
      <c r="CX590"/>
      <c r="CY590"/>
      <c r="CZ590"/>
    </row>
    <row r="591" spans="33:104">
      <c r="AG591" s="1"/>
      <c r="AH591" s="1"/>
      <c r="AI591" s="1"/>
      <c r="AJ591" s="1"/>
      <c r="AR591" s="1"/>
      <c r="AS591" s="1"/>
      <c r="AT591" s="1"/>
      <c r="AV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T591"/>
      <c r="CU591"/>
      <c r="CV591"/>
      <c r="CW591"/>
      <c r="CX591"/>
      <c r="CY591"/>
      <c r="CZ591"/>
    </row>
    <row r="592" spans="33:104">
      <c r="AG592" s="1"/>
      <c r="AH592" s="1"/>
      <c r="AI592" s="1"/>
      <c r="AJ592" s="1"/>
      <c r="AR592" s="1"/>
      <c r="AS592" s="1"/>
      <c r="AT592" s="1"/>
      <c r="AV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T592"/>
      <c r="CU592"/>
      <c r="CV592"/>
      <c r="CW592"/>
      <c r="CX592"/>
      <c r="CY592"/>
      <c r="CZ592"/>
    </row>
    <row r="593" spans="33:104">
      <c r="AG593" s="1"/>
      <c r="AH593" s="1"/>
      <c r="AI593" s="1"/>
      <c r="AJ593" s="1"/>
      <c r="AR593" s="1"/>
      <c r="AS593" s="1"/>
      <c r="AT593" s="1"/>
      <c r="AV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T593"/>
      <c r="CU593"/>
      <c r="CV593"/>
      <c r="CW593"/>
      <c r="CX593"/>
      <c r="CY593"/>
      <c r="CZ593"/>
    </row>
    <row r="594" spans="33:104">
      <c r="AG594" s="1"/>
      <c r="AH594" s="1"/>
      <c r="AI594" s="1"/>
      <c r="AJ594" s="1"/>
      <c r="AR594" s="1"/>
      <c r="AS594" s="1"/>
      <c r="AT594" s="1"/>
      <c r="AV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T594"/>
      <c r="CU594"/>
      <c r="CV594"/>
      <c r="CW594"/>
      <c r="CX594"/>
      <c r="CY594"/>
      <c r="CZ594"/>
    </row>
    <row r="595" spans="33:104">
      <c r="AG595" s="1"/>
      <c r="AH595" s="1"/>
      <c r="AI595" s="1"/>
      <c r="AJ595" s="1"/>
      <c r="AR595" s="1"/>
      <c r="AS595" s="1"/>
      <c r="AT595" s="1"/>
      <c r="AV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T595"/>
      <c r="CU595"/>
      <c r="CV595"/>
      <c r="CW595"/>
      <c r="CX595"/>
      <c r="CY595"/>
      <c r="CZ595"/>
    </row>
    <row r="596" spans="33:104">
      <c r="AG596" s="1"/>
      <c r="AH596" s="1"/>
      <c r="AI596" s="1"/>
      <c r="AJ596" s="1"/>
      <c r="AR596" s="1"/>
      <c r="AS596" s="1"/>
      <c r="AT596" s="1"/>
      <c r="AV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T596"/>
      <c r="CU596"/>
      <c r="CV596"/>
      <c r="CW596"/>
      <c r="CX596"/>
      <c r="CY596"/>
      <c r="CZ596"/>
    </row>
    <row r="597" spans="33:104">
      <c r="AG597" s="1"/>
      <c r="AH597" s="1"/>
      <c r="AI597" s="1"/>
      <c r="AJ597" s="1"/>
      <c r="AR597" s="1"/>
      <c r="AS597" s="1"/>
      <c r="AT597" s="1"/>
      <c r="AV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T597"/>
      <c r="CU597"/>
      <c r="CV597"/>
      <c r="CW597"/>
      <c r="CX597"/>
      <c r="CY597"/>
      <c r="CZ597"/>
    </row>
    <row r="598" spans="33:104">
      <c r="AG598" s="1"/>
      <c r="AH598" s="1"/>
      <c r="AI598" s="1"/>
      <c r="AJ598" s="1"/>
      <c r="AR598" s="1"/>
      <c r="AS598" s="1"/>
      <c r="AT598" s="1"/>
      <c r="AV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T598"/>
      <c r="CU598"/>
      <c r="CV598"/>
      <c r="CW598"/>
      <c r="CX598"/>
      <c r="CY598"/>
      <c r="CZ598"/>
    </row>
    <row r="599" spans="33:104">
      <c r="AG599" s="1"/>
      <c r="AH599" s="1"/>
      <c r="AI599" s="1"/>
      <c r="AJ599" s="1"/>
      <c r="AR599" s="1"/>
      <c r="AS599" s="1"/>
      <c r="AT599" s="1"/>
      <c r="AV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T599"/>
      <c r="CU599"/>
      <c r="CV599"/>
      <c r="CW599"/>
      <c r="CX599"/>
      <c r="CY599"/>
      <c r="CZ599"/>
    </row>
    <row r="600" spans="33:104">
      <c r="AG600" s="1"/>
      <c r="AH600" s="1"/>
      <c r="AI600" s="1"/>
      <c r="AJ600" s="1"/>
      <c r="AR600" s="1"/>
      <c r="AS600" s="1"/>
      <c r="AT600" s="1"/>
      <c r="AV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T600"/>
      <c r="CU600"/>
      <c r="CV600"/>
      <c r="CW600"/>
      <c r="CX600"/>
      <c r="CY600"/>
      <c r="CZ600"/>
    </row>
    <row r="601" spans="33:104">
      <c r="AG601" s="1"/>
      <c r="AH601" s="1"/>
      <c r="AI601" s="1"/>
      <c r="AJ601" s="1"/>
      <c r="AR601" s="1"/>
      <c r="AS601" s="1"/>
      <c r="AT601" s="1"/>
      <c r="AV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T601"/>
      <c r="CU601"/>
      <c r="CV601"/>
      <c r="CW601"/>
      <c r="CX601"/>
      <c r="CY601"/>
      <c r="CZ601"/>
    </row>
    <row r="602" spans="33:104">
      <c r="AG602" s="1"/>
      <c r="AH602" s="1"/>
      <c r="AI602" s="1"/>
      <c r="AJ602" s="1"/>
      <c r="AR602" s="1"/>
      <c r="AS602" s="1"/>
      <c r="AT602" s="1"/>
      <c r="AV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T602"/>
      <c r="CU602"/>
      <c r="CV602"/>
      <c r="CW602"/>
      <c r="CX602"/>
      <c r="CY602"/>
      <c r="CZ602"/>
    </row>
    <row r="603" spans="33:104">
      <c r="AG603" s="1"/>
      <c r="AH603" s="1"/>
      <c r="AI603" s="1"/>
      <c r="AJ603" s="1"/>
      <c r="AR603" s="1"/>
      <c r="AS603" s="1"/>
      <c r="AT603" s="1"/>
      <c r="AV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T603"/>
      <c r="CU603"/>
      <c r="CV603"/>
      <c r="CW603"/>
      <c r="CX603"/>
      <c r="CY603"/>
      <c r="CZ603"/>
    </row>
    <row r="604" spans="33:104">
      <c r="AG604" s="1"/>
      <c r="AH604" s="1"/>
      <c r="AI604" s="1"/>
      <c r="AJ604" s="1"/>
      <c r="AR604" s="1"/>
      <c r="AS604" s="1"/>
      <c r="AT604" s="1"/>
      <c r="AV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T604"/>
      <c r="CU604"/>
      <c r="CV604"/>
      <c r="CW604"/>
      <c r="CX604"/>
      <c r="CY604"/>
      <c r="CZ604"/>
    </row>
    <row r="605" spans="33:104">
      <c r="AG605" s="1"/>
      <c r="AH605" s="1"/>
      <c r="AI605" s="1"/>
      <c r="AJ605" s="1"/>
      <c r="AR605" s="1"/>
      <c r="AS605" s="1"/>
      <c r="AT605" s="1"/>
      <c r="AV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T605"/>
      <c r="CU605"/>
      <c r="CV605"/>
      <c r="CW605"/>
      <c r="CX605"/>
      <c r="CY605"/>
      <c r="CZ605"/>
    </row>
    <row r="606" spans="33:104">
      <c r="AG606" s="1"/>
      <c r="AH606" s="1"/>
      <c r="AI606" s="1"/>
      <c r="AJ606" s="1"/>
      <c r="AR606" s="1"/>
      <c r="AS606" s="1"/>
      <c r="AT606" s="1"/>
      <c r="AV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T606"/>
      <c r="CU606"/>
      <c r="CV606"/>
      <c r="CW606"/>
      <c r="CX606"/>
      <c r="CY606"/>
      <c r="CZ606"/>
    </row>
    <row r="607" spans="33:104">
      <c r="AG607" s="1"/>
      <c r="AH607" s="1"/>
      <c r="AI607" s="1"/>
      <c r="AJ607" s="1"/>
      <c r="AR607" s="1"/>
      <c r="AS607" s="1"/>
      <c r="AT607" s="1"/>
      <c r="AV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T607"/>
      <c r="CU607"/>
      <c r="CV607"/>
      <c r="CW607"/>
      <c r="CX607"/>
      <c r="CY607"/>
      <c r="CZ607"/>
    </row>
    <row r="608" spans="33:104">
      <c r="AG608" s="1"/>
      <c r="AH608" s="1"/>
      <c r="AI608" s="1"/>
      <c r="AJ608" s="1"/>
      <c r="AR608" s="1"/>
      <c r="AS608" s="1"/>
      <c r="AT608" s="1"/>
      <c r="AV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T608"/>
      <c r="CU608"/>
      <c r="CV608"/>
      <c r="CW608"/>
      <c r="CX608"/>
      <c r="CY608"/>
      <c r="CZ608"/>
    </row>
    <row r="609" spans="33:104">
      <c r="AG609" s="1"/>
      <c r="AH609" s="1"/>
      <c r="AI609" s="1"/>
      <c r="AJ609" s="1"/>
      <c r="AR609" s="1"/>
      <c r="AS609" s="1"/>
      <c r="AT609" s="1"/>
      <c r="AV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T609"/>
      <c r="CU609"/>
      <c r="CV609"/>
      <c r="CW609"/>
      <c r="CX609"/>
      <c r="CY609"/>
      <c r="CZ609"/>
    </row>
    <row r="610" spans="33:104">
      <c r="AG610" s="1"/>
      <c r="AH610" s="1"/>
      <c r="AI610" s="1"/>
      <c r="AJ610" s="1"/>
      <c r="AR610" s="1"/>
      <c r="AS610" s="1"/>
      <c r="AT610" s="1"/>
      <c r="AV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T610"/>
      <c r="CU610"/>
      <c r="CV610"/>
      <c r="CW610"/>
      <c r="CX610"/>
      <c r="CY610"/>
      <c r="CZ610"/>
    </row>
    <row r="611" spans="33:104">
      <c r="AG611" s="1"/>
      <c r="AH611" s="1"/>
      <c r="AI611" s="1"/>
      <c r="AJ611" s="1"/>
      <c r="AR611" s="1"/>
      <c r="AS611" s="1"/>
      <c r="AT611" s="1"/>
      <c r="AV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T611"/>
      <c r="CU611"/>
      <c r="CV611"/>
      <c r="CW611"/>
      <c r="CX611"/>
      <c r="CY611"/>
      <c r="CZ611"/>
    </row>
    <row r="612" spans="33:104">
      <c r="AG612" s="1"/>
      <c r="AH612" s="1"/>
      <c r="AI612" s="1"/>
      <c r="AJ612" s="1"/>
      <c r="AR612" s="1"/>
      <c r="AS612" s="1"/>
      <c r="AT612" s="1"/>
      <c r="AV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T612"/>
      <c r="CU612"/>
      <c r="CV612"/>
      <c r="CW612"/>
      <c r="CX612"/>
      <c r="CY612"/>
      <c r="CZ612"/>
    </row>
    <row r="613" spans="33:104">
      <c r="AG613" s="1"/>
      <c r="AH613" s="1"/>
      <c r="AI613" s="1"/>
      <c r="AJ613" s="1"/>
      <c r="AR613" s="1"/>
      <c r="AS613" s="1"/>
      <c r="AT613" s="1"/>
      <c r="AV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T613"/>
      <c r="CU613"/>
      <c r="CV613"/>
      <c r="CW613"/>
      <c r="CX613"/>
      <c r="CY613"/>
      <c r="CZ613"/>
    </row>
    <row r="614" spans="33:104">
      <c r="AG614" s="1"/>
      <c r="AH614" s="1"/>
      <c r="AI614" s="1"/>
      <c r="AJ614" s="1"/>
      <c r="AR614" s="1"/>
      <c r="AS614" s="1"/>
      <c r="AT614" s="1"/>
      <c r="AV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T614"/>
      <c r="CU614"/>
      <c r="CV614"/>
      <c r="CW614"/>
      <c r="CX614"/>
      <c r="CY614"/>
      <c r="CZ614"/>
    </row>
    <row r="615" spans="33:104">
      <c r="AG615" s="1"/>
      <c r="AH615" s="1"/>
      <c r="AI615" s="1"/>
      <c r="AJ615" s="1"/>
      <c r="AR615" s="1"/>
      <c r="AS615" s="1"/>
      <c r="AT615" s="1"/>
      <c r="AV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T615"/>
      <c r="CU615"/>
      <c r="CV615"/>
      <c r="CW615"/>
      <c r="CX615"/>
      <c r="CY615"/>
      <c r="CZ615"/>
    </row>
    <row r="616" spans="33:104">
      <c r="AG616" s="1"/>
      <c r="AH616" s="1"/>
      <c r="AI616" s="1"/>
      <c r="AJ616" s="1"/>
      <c r="AR616" s="1"/>
      <c r="AS616" s="1"/>
      <c r="AT616" s="1"/>
      <c r="AV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T616"/>
      <c r="CU616"/>
      <c r="CV616"/>
      <c r="CW616"/>
      <c r="CX616"/>
      <c r="CY616"/>
      <c r="CZ616"/>
    </row>
    <row r="617" spans="33:104">
      <c r="AG617" s="1"/>
      <c r="AH617" s="1"/>
      <c r="AI617" s="1"/>
      <c r="AJ617" s="1"/>
      <c r="AR617" s="1"/>
      <c r="AS617" s="1"/>
      <c r="AT617" s="1"/>
      <c r="AV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T617"/>
      <c r="CU617"/>
      <c r="CV617"/>
      <c r="CW617"/>
      <c r="CX617"/>
      <c r="CY617"/>
      <c r="CZ617"/>
    </row>
    <row r="618" spans="33:104">
      <c r="AG618" s="1"/>
      <c r="AH618" s="1"/>
      <c r="AI618" s="1"/>
      <c r="AJ618" s="1"/>
      <c r="AR618" s="1"/>
      <c r="AS618" s="1"/>
      <c r="AT618" s="1"/>
      <c r="AV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T618"/>
      <c r="CU618"/>
      <c r="CV618"/>
      <c r="CW618"/>
      <c r="CX618"/>
      <c r="CY618"/>
      <c r="CZ618"/>
    </row>
    <row r="619" spans="33:104">
      <c r="AG619" s="1"/>
      <c r="AH619" s="1"/>
      <c r="AI619" s="1"/>
      <c r="AJ619" s="1"/>
      <c r="AR619" s="1"/>
      <c r="AS619" s="1"/>
      <c r="AT619" s="1"/>
      <c r="AV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T619"/>
      <c r="CU619"/>
      <c r="CV619"/>
      <c r="CW619"/>
      <c r="CX619"/>
      <c r="CY619"/>
      <c r="CZ619"/>
    </row>
    <row r="620" spans="33:104">
      <c r="AG620" s="1"/>
      <c r="AH620" s="1"/>
      <c r="AI620" s="1"/>
      <c r="AJ620" s="1"/>
      <c r="AR620" s="1"/>
      <c r="AS620" s="1"/>
      <c r="AT620" s="1"/>
      <c r="AV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T620"/>
      <c r="CU620"/>
      <c r="CV620"/>
      <c r="CW620"/>
      <c r="CX620"/>
      <c r="CY620"/>
      <c r="CZ620"/>
    </row>
    <row r="621" spans="33:104">
      <c r="AG621" s="1"/>
      <c r="AH621" s="1"/>
      <c r="AI621" s="1"/>
      <c r="AJ621" s="1"/>
      <c r="AR621" s="1"/>
      <c r="AS621" s="1"/>
      <c r="AT621" s="1"/>
      <c r="AV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T621"/>
      <c r="CU621"/>
      <c r="CV621"/>
      <c r="CW621"/>
      <c r="CX621"/>
      <c r="CY621"/>
      <c r="CZ621"/>
    </row>
    <row r="622" spans="33:104">
      <c r="AG622" s="1"/>
      <c r="AH622" s="1"/>
      <c r="AI622" s="1"/>
      <c r="AJ622" s="1"/>
      <c r="AR622" s="1"/>
      <c r="AS622" s="1"/>
      <c r="AT622" s="1"/>
      <c r="AV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T622"/>
      <c r="CU622"/>
      <c r="CV622"/>
      <c r="CW622"/>
      <c r="CX622"/>
      <c r="CY622"/>
      <c r="CZ622"/>
    </row>
    <row r="623" spans="33:104">
      <c r="AG623" s="1"/>
      <c r="AH623" s="1"/>
      <c r="AI623" s="1"/>
      <c r="AJ623" s="1"/>
      <c r="AR623" s="1"/>
      <c r="AS623" s="1"/>
      <c r="AT623" s="1"/>
      <c r="AV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T623"/>
      <c r="CU623"/>
      <c r="CV623"/>
      <c r="CW623"/>
      <c r="CX623"/>
      <c r="CY623"/>
      <c r="CZ623"/>
    </row>
    <row r="624" spans="33:104">
      <c r="AG624" s="1"/>
      <c r="AH624" s="1"/>
      <c r="AI624" s="1"/>
      <c r="AJ624" s="1"/>
      <c r="AR624" s="1"/>
      <c r="AS624" s="1"/>
      <c r="AT624" s="1"/>
      <c r="AV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T624"/>
      <c r="CU624"/>
      <c r="CV624"/>
      <c r="CW624"/>
      <c r="CX624"/>
      <c r="CY624"/>
      <c r="CZ624"/>
    </row>
    <row r="625" spans="33:104">
      <c r="AG625" s="1"/>
      <c r="AH625" s="1"/>
      <c r="AI625" s="1"/>
      <c r="AJ625" s="1"/>
      <c r="AR625" s="1"/>
      <c r="AS625" s="1"/>
      <c r="AT625" s="1"/>
      <c r="AV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T625"/>
      <c r="CU625"/>
      <c r="CV625"/>
      <c r="CW625"/>
      <c r="CX625"/>
      <c r="CY625"/>
      <c r="CZ625"/>
    </row>
    <row r="626" spans="33:104">
      <c r="AG626" s="1"/>
      <c r="AH626" s="1"/>
      <c r="AI626" s="1"/>
      <c r="AJ626" s="1"/>
      <c r="AR626" s="1"/>
      <c r="AS626" s="1"/>
      <c r="AT626" s="1"/>
      <c r="AV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T626"/>
      <c r="CU626"/>
      <c r="CV626"/>
      <c r="CW626"/>
      <c r="CX626"/>
      <c r="CY626"/>
      <c r="CZ626"/>
    </row>
    <row r="627" spans="33:104">
      <c r="AG627" s="1"/>
      <c r="AH627" s="1"/>
      <c r="AI627" s="1"/>
      <c r="AJ627" s="1"/>
      <c r="AR627" s="1"/>
      <c r="AS627" s="1"/>
      <c r="AT627" s="1"/>
      <c r="AV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T627"/>
      <c r="CU627"/>
      <c r="CV627"/>
      <c r="CW627"/>
      <c r="CX627"/>
      <c r="CY627"/>
      <c r="CZ627"/>
    </row>
    <row r="628" spans="33:104">
      <c r="AG628" s="1"/>
      <c r="AH628" s="1"/>
      <c r="AI628" s="1"/>
      <c r="AJ628" s="1"/>
      <c r="AR628" s="1"/>
      <c r="AS628" s="1"/>
      <c r="AT628" s="1"/>
      <c r="AV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T628"/>
      <c r="CU628"/>
      <c r="CV628"/>
      <c r="CW628"/>
      <c r="CX628"/>
      <c r="CY628"/>
      <c r="CZ628"/>
    </row>
    <row r="629" spans="33:104">
      <c r="AG629" s="1"/>
      <c r="AH629" s="1"/>
      <c r="AI629" s="1"/>
      <c r="AJ629" s="1"/>
      <c r="AR629" s="1"/>
      <c r="AS629" s="1"/>
      <c r="AT629" s="1"/>
      <c r="AV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T629"/>
      <c r="CU629"/>
      <c r="CV629"/>
      <c r="CW629"/>
      <c r="CX629"/>
      <c r="CY629"/>
      <c r="CZ629"/>
    </row>
    <row r="630" spans="33:104">
      <c r="AG630" s="1"/>
      <c r="AH630" s="1"/>
      <c r="AI630" s="1"/>
      <c r="AJ630" s="1"/>
      <c r="AR630" s="1"/>
      <c r="AS630" s="1"/>
      <c r="AT630" s="1"/>
      <c r="AV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T630"/>
      <c r="CU630"/>
      <c r="CV630"/>
      <c r="CW630"/>
      <c r="CX630"/>
      <c r="CY630"/>
      <c r="CZ630"/>
    </row>
    <row r="631" spans="33:104">
      <c r="AG631" s="1"/>
      <c r="AH631" s="1"/>
      <c r="AI631" s="1"/>
      <c r="AJ631" s="1"/>
      <c r="AR631" s="1"/>
      <c r="AS631" s="1"/>
      <c r="AT631" s="1"/>
      <c r="AV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T631"/>
      <c r="CU631"/>
      <c r="CV631"/>
      <c r="CW631"/>
      <c r="CX631"/>
      <c r="CY631"/>
      <c r="CZ631"/>
    </row>
    <row r="632" spans="33:104">
      <c r="AG632" s="1"/>
      <c r="AH632" s="1"/>
      <c r="AI632" s="1"/>
      <c r="AJ632" s="1"/>
      <c r="AR632" s="1"/>
      <c r="AS632" s="1"/>
      <c r="AT632" s="1"/>
      <c r="AV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T632"/>
      <c r="CU632"/>
      <c r="CV632"/>
      <c r="CW632"/>
      <c r="CX632"/>
      <c r="CY632"/>
      <c r="CZ632"/>
    </row>
    <row r="633" spans="33:104">
      <c r="AG633" s="1"/>
      <c r="AH633" s="1"/>
      <c r="AI633" s="1"/>
      <c r="AJ633" s="1"/>
      <c r="AR633" s="1"/>
      <c r="AS633" s="1"/>
      <c r="AT633" s="1"/>
      <c r="AV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T633"/>
      <c r="CU633"/>
      <c r="CV633"/>
      <c r="CW633"/>
      <c r="CX633"/>
      <c r="CY633"/>
      <c r="CZ633"/>
    </row>
    <row r="634" spans="33:104">
      <c r="AG634" s="1"/>
      <c r="AH634" s="1"/>
      <c r="AI634" s="1"/>
      <c r="AJ634" s="1"/>
      <c r="AR634" s="1"/>
      <c r="AS634" s="1"/>
      <c r="AT634" s="1"/>
      <c r="AV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T634"/>
      <c r="CU634"/>
      <c r="CV634"/>
      <c r="CW634"/>
      <c r="CX634"/>
      <c r="CY634"/>
      <c r="CZ634"/>
    </row>
    <row r="635" spans="33:104">
      <c r="AG635" s="1"/>
      <c r="AH635" s="1"/>
      <c r="AI635" s="1"/>
      <c r="AJ635" s="1"/>
      <c r="AR635" s="1"/>
      <c r="AS635" s="1"/>
      <c r="AT635" s="1"/>
      <c r="AV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T635"/>
      <c r="CU635"/>
      <c r="CV635"/>
      <c r="CW635"/>
      <c r="CX635"/>
      <c r="CY635"/>
      <c r="CZ635"/>
    </row>
  </sheetData>
  <mergeCells count="11">
    <mergeCell ref="CI39:CJ39"/>
    <mergeCell ref="CI35:CJ35"/>
    <mergeCell ref="CI38:CJ38"/>
    <mergeCell ref="CI37:CJ37"/>
    <mergeCell ref="AR1:BB1"/>
    <mergeCell ref="BC1:BL1"/>
    <mergeCell ref="AJ1:AQ1"/>
    <mergeCell ref="CH1:CS1"/>
    <mergeCell ref="DA1:DI1"/>
    <mergeCell ref="CT1:CY1"/>
    <mergeCell ref="BD35:BE37"/>
  </mergeCells>
  <printOptions horizontalCentered="1"/>
  <pageMargins left="0.39370078740157483" right="0.39370078740157483" top="0" bottom="0" header="0.31496062992125984" footer="0.31496062992125984"/>
  <pageSetup scale="2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67"/>
  <sheetViews>
    <sheetView tabSelected="1" zoomScale="85" zoomScaleNormal="85" workbookViewId="0">
      <pane xSplit="1" ySplit="3" topLeftCell="D25" activePane="bottomRight" state="frozen"/>
      <selection pane="topRight" activeCell="B1" sqref="B1"/>
      <selection pane="bottomLeft" activeCell="A3" sqref="A3"/>
      <selection pane="bottomRight" activeCell="J34" sqref="J34"/>
    </sheetView>
  </sheetViews>
  <sheetFormatPr defaultRowHeight="14.4"/>
  <cols>
    <col min="1" max="1" width="16.5546875" bestFit="1" customWidth="1"/>
    <col min="2" max="2" width="12.44140625" customWidth="1"/>
    <col min="3" max="3" width="10.33203125" style="140" bestFit="1" customWidth="1"/>
    <col min="4" max="4" width="12.44140625" customWidth="1"/>
    <col min="5" max="5" width="16.88671875" customWidth="1"/>
    <col min="6" max="6" width="13.88671875" customWidth="1"/>
    <col min="7" max="7" width="11.6640625" customWidth="1"/>
    <col min="8" max="8" width="16.33203125" customWidth="1"/>
    <col min="9" max="11" width="13.88671875" customWidth="1"/>
    <col min="12" max="15" width="13.88671875" style="104" customWidth="1"/>
    <col min="16" max="16" width="15.21875" customWidth="1"/>
    <col min="17" max="17" width="17.21875" customWidth="1"/>
  </cols>
  <sheetData>
    <row r="1" spans="1:18" s="85" customFormat="1" ht="31.2" customHeight="1" thickBot="1">
      <c r="A1" s="343" t="s">
        <v>156</v>
      </c>
      <c r="B1" s="344"/>
      <c r="C1" s="344"/>
      <c r="D1" s="344"/>
      <c r="E1" s="344"/>
      <c r="F1" s="344"/>
      <c r="G1" s="344"/>
      <c r="H1" s="344"/>
      <c r="I1" s="344"/>
      <c r="J1" s="344"/>
      <c r="K1" s="345"/>
      <c r="L1" s="344" t="s">
        <v>110</v>
      </c>
      <c r="M1" s="344"/>
      <c r="N1" s="344"/>
      <c r="O1" s="344"/>
      <c r="P1" s="344"/>
      <c r="Q1" s="345"/>
    </row>
    <row r="2" spans="1:18" ht="30" customHeight="1" thickBot="1">
      <c r="A2" s="260"/>
      <c r="B2" s="365" t="s">
        <v>98</v>
      </c>
      <c r="C2" s="366"/>
      <c r="D2" s="366"/>
      <c r="E2" s="367"/>
      <c r="F2" s="368" t="s">
        <v>94</v>
      </c>
      <c r="G2" s="368"/>
      <c r="H2" s="368"/>
      <c r="I2" s="369"/>
      <c r="J2" s="346" t="s">
        <v>95</v>
      </c>
      <c r="K2" s="347"/>
      <c r="L2" s="352" t="s">
        <v>53</v>
      </c>
      <c r="M2" s="353"/>
      <c r="N2" s="352" t="s">
        <v>54</v>
      </c>
      <c r="O2" s="353"/>
      <c r="P2" s="350" t="s">
        <v>109</v>
      </c>
      <c r="Q2" s="351"/>
    </row>
    <row r="3" spans="1:18" ht="30" customHeight="1" thickBot="1">
      <c r="A3" s="261" t="s">
        <v>25</v>
      </c>
      <c r="B3" s="269" t="s">
        <v>59</v>
      </c>
      <c r="C3" s="170" t="s">
        <v>71</v>
      </c>
      <c r="D3" s="170" t="s">
        <v>65</v>
      </c>
      <c r="E3" s="270" t="s">
        <v>72</v>
      </c>
      <c r="F3" s="265" t="s">
        <v>59</v>
      </c>
      <c r="G3" s="75" t="s">
        <v>71</v>
      </c>
      <c r="H3" s="75" t="s">
        <v>65</v>
      </c>
      <c r="I3" s="105" t="s">
        <v>72</v>
      </c>
      <c r="J3" s="106" t="s">
        <v>65</v>
      </c>
      <c r="K3" s="222" t="s">
        <v>72</v>
      </c>
      <c r="L3" s="238" t="s">
        <v>59</v>
      </c>
      <c r="M3" s="239" t="s">
        <v>71</v>
      </c>
      <c r="N3" s="238" t="s">
        <v>65</v>
      </c>
      <c r="O3" s="239" t="s">
        <v>72</v>
      </c>
      <c r="P3" s="240" t="s">
        <v>4</v>
      </c>
      <c r="Q3" s="241" t="s">
        <v>31</v>
      </c>
    </row>
    <row r="4" spans="1:18" ht="30" customHeight="1">
      <c r="A4" s="262">
        <v>46143</v>
      </c>
      <c r="B4" s="271">
        <v>0</v>
      </c>
      <c r="C4" s="171">
        <v>0</v>
      </c>
      <c r="D4" s="171">
        <v>0</v>
      </c>
      <c r="E4" s="272">
        <v>0</v>
      </c>
      <c r="F4" s="266"/>
      <c r="G4" s="108"/>
      <c r="H4" s="108"/>
      <c r="I4" s="109"/>
      <c r="J4" s="110"/>
      <c r="K4" s="223"/>
      <c r="L4" s="235">
        <f>+B4+F4</f>
        <v>0</v>
      </c>
      <c r="M4" s="236">
        <f>+C4+G4</f>
        <v>0</v>
      </c>
      <c r="N4" s="235">
        <f>+D4+H4+J4</f>
        <v>0</v>
      </c>
      <c r="O4" s="236">
        <f>+E4+I4+K4</f>
        <v>0</v>
      </c>
      <c r="P4" s="232">
        <f t="shared" ref="P4:P34" si="0">L4+N4</f>
        <v>0</v>
      </c>
      <c r="Q4" s="237">
        <f>+M4+O4</f>
        <v>0</v>
      </c>
      <c r="R4" s="19"/>
    </row>
    <row r="5" spans="1:18" ht="30" customHeight="1">
      <c r="A5" s="262">
        <f t="shared" ref="A5:A34" si="1">+A4+1</f>
        <v>46144</v>
      </c>
      <c r="B5" s="271">
        <v>31</v>
      </c>
      <c r="C5" s="171">
        <v>1019.1</v>
      </c>
      <c r="D5" s="171"/>
      <c r="E5" s="272"/>
      <c r="F5" s="266"/>
      <c r="G5" s="108"/>
      <c r="H5" s="108"/>
      <c r="I5" s="109"/>
      <c r="J5" s="110"/>
      <c r="K5" s="223"/>
      <c r="L5" s="235">
        <f t="shared" ref="L5:L34" si="2">+B5+F5</f>
        <v>31</v>
      </c>
      <c r="M5" s="236">
        <f t="shared" ref="M5:M34" si="3">+C5+G5</f>
        <v>1019.1</v>
      </c>
      <c r="N5" s="235">
        <f t="shared" ref="N5:N34" si="4">+D5+H5+J5</f>
        <v>0</v>
      </c>
      <c r="O5" s="236">
        <f t="shared" ref="O5:O34" si="5">+E5+I5+K5</f>
        <v>0</v>
      </c>
      <c r="P5" s="232">
        <f t="shared" si="0"/>
        <v>31</v>
      </c>
      <c r="Q5" s="219">
        <f t="shared" ref="Q5:Q34" si="6">+M5+O5</f>
        <v>1019.1</v>
      </c>
      <c r="R5" s="19"/>
    </row>
    <row r="6" spans="1:18" ht="30" customHeight="1">
      <c r="A6" s="263">
        <f t="shared" si="1"/>
        <v>46145</v>
      </c>
      <c r="B6" s="271"/>
      <c r="C6" s="171"/>
      <c r="D6" s="172"/>
      <c r="E6" s="274"/>
      <c r="F6" s="267"/>
      <c r="G6" s="111"/>
      <c r="H6" s="111"/>
      <c r="I6" s="112"/>
      <c r="J6" s="113"/>
      <c r="K6" s="224"/>
      <c r="L6" s="235">
        <f t="shared" si="2"/>
        <v>0</v>
      </c>
      <c r="M6" s="236">
        <f t="shared" si="3"/>
        <v>0</v>
      </c>
      <c r="N6" s="235">
        <f t="shared" si="4"/>
        <v>0</v>
      </c>
      <c r="O6" s="236">
        <f t="shared" si="5"/>
        <v>0</v>
      </c>
      <c r="P6" s="232">
        <f t="shared" si="0"/>
        <v>0</v>
      </c>
      <c r="Q6" s="219">
        <f t="shared" si="6"/>
        <v>0</v>
      </c>
      <c r="R6" s="19"/>
    </row>
    <row r="7" spans="1:18" ht="30" customHeight="1">
      <c r="A7" s="262">
        <f t="shared" si="1"/>
        <v>46146</v>
      </c>
      <c r="B7" s="273">
        <v>43</v>
      </c>
      <c r="C7" s="172">
        <v>1401.48</v>
      </c>
      <c r="D7" s="172">
        <v>7</v>
      </c>
      <c r="E7" s="274">
        <v>248.19</v>
      </c>
      <c r="F7" s="267"/>
      <c r="G7" s="111"/>
      <c r="H7" s="111"/>
      <c r="I7" s="112"/>
      <c r="J7" s="113">
        <v>9</v>
      </c>
      <c r="K7" s="224">
        <v>295.73</v>
      </c>
      <c r="L7" s="235">
        <f t="shared" si="2"/>
        <v>43</v>
      </c>
      <c r="M7" s="236">
        <f t="shared" si="3"/>
        <v>1401.48</v>
      </c>
      <c r="N7" s="235">
        <f t="shared" si="4"/>
        <v>16</v>
      </c>
      <c r="O7" s="236">
        <f t="shared" si="5"/>
        <v>543.92000000000007</v>
      </c>
      <c r="P7" s="232">
        <f t="shared" si="0"/>
        <v>59</v>
      </c>
      <c r="Q7" s="219">
        <f t="shared" si="6"/>
        <v>1945.4</v>
      </c>
      <c r="R7" s="54"/>
    </row>
    <row r="8" spans="1:18" ht="30" customHeight="1">
      <c r="A8" s="263">
        <f t="shared" si="1"/>
        <v>46147</v>
      </c>
      <c r="B8" s="273"/>
      <c r="C8" s="172"/>
      <c r="D8" s="172"/>
      <c r="E8" s="274"/>
      <c r="F8" s="267"/>
      <c r="G8" s="111"/>
      <c r="H8" s="111"/>
      <c r="I8" s="112"/>
      <c r="J8" s="113"/>
      <c r="K8" s="224"/>
      <c r="L8" s="235">
        <f t="shared" si="2"/>
        <v>0</v>
      </c>
      <c r="M8" s="236">
        <f t="shared" si="3"/>
        <v>0</v>
      </c>
      <c r="N8" s="235">
        <f t="shared" si="4"/>
        <v>0</v>
      </c>
      <c r="O8" s="236">
        <f t="shared" si="5"/>
        <v>0</v>
      </c>
      <c r="P8" s="232">
        <f t="shared" si="0"/>
        <v>0</v>
      </c>
      <c r="Q8" s="219">
        <f t="shared" si="6"/>
        <v>0</v>
      </c>
    </row>
    <row r="9" spans="1:18" ht="30" customHeight="1">
      <c r="A9" s="262">
        <f t="shared" si="1"/>
        <v>46148</v>
      </c>
      <c r="B9" s="273"/>
      <c r="C9" s="172"/>
      <c r="D9" s="172"/>
      <c r="E9" s="274"/>
      <c r="F9" s="267"/>
      <c r="G9" s="111"/>
      <c r="H9" s="111"/>
      <c r="I9" s="112"/>
      <c r="J9" s="113"/>
      <c r="K9" s="224"/>
      <c r="L9" s="235">
        <f t="shared" si="2"/>
        <v>0</v>
      </c>
      <c r="M9" s="236">
        <f t="shared" si="3"/>
        <v>0</v>
      </c>
      <c r="N9" s="235">
        <f t="shared" si="4"/>
        <v>0</v>
      </c>
      <c r="O9" s="236">
        <f t="shared" si="5"/>
        <v>0</v>
      </c>
      <c r="P9" s="232">
        <f t="shared" si="0"/>
        <v>0</v>
      </c>
      <c r="Q9" s="219">
        <f t="shared" si="6"/>
        <v>0</v>
      </c>
    </row>
    <row r="10" spans="1:18" ht="30" customHeight="1">
      <c r="A10" s="263">
        <f t="shared" si="1"/>
        <v>46149</v>
      </c>
      <c r="B10" s="273">
        <v>79</v>
      </c>
      <c r="C10" s="172">
        <v>2347.75</v>
      </c>
      <c r="D10" s="172">
        <v>5</v>
      </c>
      <c r="E10" s="274">
        <v>152.13</v>
      </c>
      <c r="F10" s="267"/>
      <c r="G10" s="111"/>
      <c r="H10" s="111"/>
      <c r="I10" s="112"/>
      <c r="J10" s="113">
        <v>5</v>
      </c>
      <c r="K10" s="224">
        <v>161.54</v>
      </c>
      <c r="L10" s="235">
        <f t="shared" si="2"/>
        <v>79</v>
      </c>
      <c r="M10" s="236">
        <f t="shared" si="3"/>
        <v>2347.75</v>
      </c>
      <c r="N10" s="235">
        <f t="shared" si="4"/>
        <v>10</v>
      </c>
      <c r="O10" s="236">
        <f t="shared" si="5"/>
        <v>313.66999999999996</v>
      </c>
      <c r="P10" s="232">
        <f t="shared" si="0"/>
        <v>89</v>
      </c>
      <c r="Q10" s="219">
        <f t="shared" si="6"/>
        <v>2661.42</v>
      </c>
    </row>
    <row r="11" spans="1:18" ht="30" customHeight="1">
      <c r="A11" s="262">
        <f t="shared" si="1"/>
        <v>46150</v>
      </c>
      <c r="B11" s="273">
        <v>0</v>
      </c>
      <c r="C11" s="172">
        <v>0</v>
      </c>
      <c r="D11" s="172">
        <v>41</v>
      </c>
      <c r="E11" s="274">
        <v>1314.44</v>
      </c>
      <c r="F11" s="267"/>
      <c r="G11" s="111"/>
      <c r="H11" s="111"/>
      <c r="I11" s="112"/>
      <c r="J11" s="113">
        <v>40</v>
      </c>
      <c r="K11" s="224">
        <v>1307.3699999999999</v>
      </c>
      <c r="L11" s="235">
        <f t="shared" si="2"/>
        <v>0</v>
      </c>
      <c r="M11" s="236">
        <f t="shared" si="3"/>
        <v>0</v>
      </c>
      <c r="N11" s="235">
        <f t="shared" si="4"/>
        <v>81</v>
      </c>
      <c r="O11" s="236">
        <f t="shared" si="5"/>
        <v>2621.81</v>
      </c>
      <c r="P11" s="232">
        <f t="shared" si="0"/>
        <v>81</v>
      </c>
      <c r="Q11" s="219">
        <f t="shared" si="6"/>
        <v>2621.81</v>
      </c>
    </row>
    <row r="12" spans="1:18" ht="30" customHeight="1">
      <c r="A12" s="263">
        <f t="shared" si="1"/>
        <v>46151</v>
      </c>
      <c r="B12" s="273"/>
      <c r="C12" s="172"/>
      <c r="D12" s="172"/>
      <c r="E12" s="274"/>
      <c r="F12" s="267"/>
      <c r="G12" s="111"/>
      <c r="H12" s="111"/>
      <c r="I12" s="112"/>
      <c r="J12" s="113"/>
      <c r="K12" s="224"/>
      <c r="L12" s="235">
        <f t="shared" si="2"/>
        <v>0</v>
      </c>
      <c r="M12" s="236">
        <f t="shared" si="3"/>
        <v>0</v>
      </c>
      <c r="N12" s="235">
        <f t="shared" si="4"/>
        <v>0</v>
      </c>
      <c r="O12" s="236">
        <f t="shared" si="5"/>
        <v>0</v>
      </c>
      <c r="P12" s="232">
        <f t="shared" si="0"/>
        <v>0</v>
      </c>
      <c r="Q12" s="219">
        <f t="shared" si="6"/>
        <v>0</v>
      </c>
    </row>
    <row r="13" spans="1:18" ht="30" customHeight="1">
      <c r="A13" s="262">
        <f t="shared" si="1"/>
        <v>46152</v>
      </c>
      <c r="B13" s="273"/>
      <c r="C13" s="172"/>
      <c r="D13" s="172"/>
      <c r="E13" s="275"/>
      <c r="F13" s="268"/>
      <c r="G13" s="114"/>
      <c r="H13" s="114"/>
      <c r="I13" s="115"/>
      <c r="J13" s="116"/>
      <c r="K13" s="225"/>
      <c r="L13" s="235">
        <f t="shared" si="2"/>
        <v>0</v>
      </c>
      <c r="M13" s="236">
        <f t="shared" si="3"/>
        <v>0</v>
      </c>
      <c r="N13" s="235">
        <f t="shared" si="4"/>
        <v>0</v>
      </c>
      <c r="O13" s="236">
        <f t="shared" si="5"/>
        <v>0</v>
      </c>
      <c r="P13" s="232">
        <f t="shared" si="0"/>
        <v>0</v>
      </c>
      <c r="Q13" s="219">
        <f t="shared" si="6"/>
        <v>0</v>
      </c>
    </row>
    <row r="14" spans="1:18" ht="30" customHeight="1">
      <c r="A14" s="263">
        <f t="shared" si="1"/>
        <v>46153</v>
      </c>
      <c r="B14" s="273">
        <v>112</v>
      </c>
      <c r="C14" s="172">
        <v>3437.84</v>
      </c>
      <c r="D14" s="172"/>
      <c r="E14" s="275"/>
      <c r="F14" s="268"/>
      <c r="G14" s="114"/>
      <c r="H14" s="114"/>
      <c r="I14" s="115"/>
      <c r="J14" s="116"/>
      <c r="K14" s="225"/>
      <c r="L14" s="235">
        <f t="shared" si="2"/>
        <v>112</v>
      </c>
      <c r="M14" s="236">
        <f t="shared" si="3"/>
        <v>3437.84</v>
      </c>
      <c r="N14" s="235">
        <f t="shared" si="4"/>
        <v>0</v>
      </c>
      <c r="O14" s="236">
        <f t="shared" si="5"/>
        <v>0</v>
      </c>
      <c r="P14" s="232">
        <f t="shared" si="0"/>
        <v>112</v>
      </c>
      <c r="Q14" s="219">
        <f t="shared" si="6"/>
        <v>3437.84</v>
      </c>
    </row>
    <row r="15" spans="1:18" ht="30" customHeight="1">
      <c r="A15" s="262">
        <f t="shared" si="1"/>
        <v>46154</v>
      </c>
      <c r="B15" s="273"/>
      <c r="C15" s="172"/>
      <c r="D15" s="172"/>
      <c r="E15" s="275"/>
      <c r="F15" s="268"/>
      <c r="G15" s="114"/>
      <c r="H15" s="114"/>
      <c r="I15" s="115"/>
      <c r="J15" s="116"/>
      <c r="K15" s="225"/>
      <c r="L15" s="235">
        <f t="shared" si="2"/>
        <v>0</v>
      </c>
      <c r="M15" s="236">
        <f t="shared" si="3"/>
        <v>0</v>
      </c>
      <c r="N15" s="235">
        <f t="shared" si="4"/>
        <v>0</v>
      </c>
      <c r="O15" s="236">
        <f t="shared" si="5"/>
        <v>0</v>
      </c>
      <c r="P15" s="232">
        <f t="shared" si="0"/>
        <v>0</v>
      </c>
      <c r="Q15" s="219">
        <f t="shared" si="6"/>
        <v>0</v>
      </c>
    </row>
    <row r="16" spans="1:18" ht="30" customHeight="1">
      <c r="A16" s="263">
        <f t="shared" si="1"/>
        <v>46155</v>
      </c>
      <c r="B16" s="273"/>
      <c r="C16" s="172"/>
      <c r="D16" s="172">
        <v>95</v>
      </c>
      <c r="E16" s="275">
        <v>3061.49</v>
      </c>
      <c r="F16" s="268"/>
      <c r="G16" s="114"/>
      <c r="H16" s="114"/>
      <c r="I16" s="115"/>
      <c r="J16" s="116">
        <v>54</v>
      </c>
      <c r="K16" s="225">
        <v>1712.81</v>
      </c>
      <c r="L16" s="235">
        <f t="shared" si="2"/>
        <v>0</v>
      </c>
      <c r="M16" s="236">
        <f t="shared" si="3"/>
        <v>0</v>
      </c>
      <c r="N16" s="235">
        <f t="shared" si="4"/>
        <v>149</v>
      </c>
      <c r="O16" s="236">
        <f t="shared" si="5"/>
        <v>4774.2999999999993</v>
      </c>
      <c r="P16" s="232">
        <f t="shared" si="0"/>
        <v>149</v>
      </c>
      <c r="Q16" s="219">
        <f t="shared" si="6"/>
        <v>4774.2999999999993</v>
      </c>
    </row>
    <row r="17" spans="1:17" ht="30" customHeight="1">
      <c r="A17" s="262">
        <f t="shared" si="1"/>
        <v>46156</v>
      </c>
      <c r="B17" s="273">
        <v>79</v>
      </c>
      <c r="C17" s="172">
        <v>2443.62</v>
      </c>
      <c r="D17" s="172">
        <v>45</v>
      </c>
      <c r="E17" s="275">
        <v>1459.47</v>
      </c>
      <c r="F17" s="268"/>
      <c r="G17" s="114"/>
      <c r="H17" s="114"/>
      <c r="I17" s="115"/>
      <c r="J17" s="116">
        <v>36</v>
      </c>
      <c r="K17" s="225">
        <v>1161.3399999999999</v>
      </c>
      <c r="L17" s="235">
        <f t="shared" si="2"/>
        <v>79</v>
      </c>
      <c r="M17" s="236">
        <f t="shared" si="3"/>
        <v>2443.62</v>
      </c>
      <c r="N17" s="235">
        <f t="shared" si="4"/>
        <v>81</v>
      </c>
      <c r="O17" s="236">
        <f t="shared" si="5"/>
        <v>2620.81</v>
      </c>
      <c r="P17" s="232">
        <f t="shared" si="0"/>
        <v>160</v>
      </c>
      <c r="Q17" s="219">
        <f t="shared" si="6"/>
        <v>5064.43</v>
      </c>
    </row>
    <row r="18" spans="1:17" ht="30" customHeight="1">
      <c r="A18" s="263">
        <f t="shared" si="1"/>
        <v>46157</v>
      </c>
      <c r="B18" s="273">
        <v>29</v>
      </c>
      <c r="C18" s="172">
        <v>910.08</v>
      </c>
      <c r="D18" s="172">
        <v>50</v>
      </c>
      <c r="E18" s="275">
        <v>1571.18</v>
      </c>
      <c r="F18" s="268"/>
      <c r="G18" s="114"/>
      <c r="H18" s="114"/>
      <c r="I18" s="115"/>
      <c r="J18" s="116">
        <v>38</v>
      </c>
      <c r="K18" s="225">
        <v>1265.7</v>
      </c>
      <c r="L18" s="235">
        <f t="shared" si="2"/>
        <v>29</v>
      </c>
      <c r="M18" s="236">
        <f t="shared" si="3"/>
        <v>910.08</v>
      </c>
      <c r="N18" s="235">
        <f t="shared" si="4"/>
        <v>88</v>
      </c>
      <c r="O18" s="236">
        <f t="shared" si="5"/>
        <v>2836.88</v>
      </c>
      <c r="P18" s="232">
        <f t="shared" si="0"/>
        <v>117</v>
      </c>
      <c r="Q18" s="219">
        <f t="shared" si="6"/>
        <v>3746.96</v>
      </c>
    </row>
    <row r="19" spans="1:17" ht="30" customHeight="1">
      <c r="A19" s="262">
        <f t="shared" si="1"/>
        <v>46158</v>
      </c>
      <c r="B19" s="273"/>
      <c r="C19" s="172"/>
      <c r="D19" s="172">
        <v>41</v>
      </c>
      <c r="E19" s="275">
        <v>1347.45</v>
      </c>
      <c r="F19" s="268"/>
      <c r="G19" s="114"/>
      <c r="H19" s="114"/>
      <c r="I19" s="115"/>
      <c r="J19" s="116">
        <v>35</v>
      </c>
      <c r="K19" s="225">
        <v>1305.74</v>
      </c>
      <c r="L19" s="235">
        <f t="shared" si="2"/>
        <v>0</v>
      </c>
      <c r="M19" s="236">
        <f t="shared" si="3"/>
        <v>0</v>
      </c>
      <c r="N19" s="235">
        <f t="shared" si="4"/>
        <v>76</v>
      </c>
      <c r="O19" s="236">
        <f t="shared" si="5"/>
        <v>2653.19</v>
      </c>
      <c r="P19" s="232">
        <f t="shared" si="0"/>
        <v>76</v>
      </c>
      <c r="Q19" s="219">
        <f t="shared" si="6"/>
        <v>2653.19</v>
      </c>
    </row>
    <row r="20" spans="1:17" ht="30" customHeight="1">
      <c r="A20" s="263">
        <f t="shared" si="1"/>
        <v>46159</v>
      </c>
      <c r="B20" s="273"/>
      <c r="C20" s="172"/>
      <c r="D20" s="172"/>
      <c r="E20" s="275"/>
      <c r="F20" s="268"/>
      <c r="G20" s="114"/>
      <c r="H20" s="114"/>
      <c r="I20" s="115"/>
      <c r="J20" s="116"/>
      <c r="K20" s="225"/>
      <c r="L20" s="235">
        <f t="shared" si="2"/>
        <v>0</v>
      </c>
      <c r="M20" s="236">
        <f t="shared" si="3"/>
        <v>0</v>
      </c>
      <c r="N20" s="235">
        <f t="shared" si="4"/>
        <v>0</v>
      </c>
      <c r="O20" s="236">
        <f t="shared" si="5"/>
        <v>0</v>
      </c>
      <c r="P20" s="232">
        <f t="shared" si="0"/>
        <v>0</v>
      </c>
      <c r="Q20" s="219">
        <f t="shared" si="6"/>
        <v>0</v>
      </c>
    </row>
    <row r="21" spans="1:17" ht="30" customHeight="1">
      <c r="A21" s="262">
        <f t="shared" si="1"/>
        <v>46160</v>
      </c>
      <c r="B21" s="273">
        <v>75</v>
      </c>
      <c r="C21" s="172">
        <v>2239.19</v>
      </c>
      <c r="D21" s="172">
        <v>12</v>
      </c>
      <c r="E21" s="275">
        <v>413.17</v>
      </c>
      <c r="F21" s="268"/>
      <c r="G21" s="114"/>
      <c r="H21" s="114"/>
      <c r="I21" s="115"/>
      <c r="J21" s="116">
        <v>10</v>
      </c>
      <c r="K21" s="225">
        <v>335.46</v>
      </c>
      <c r="L21" s="235">
        <f t="shared" si="2"/>
        <v>75</v>
      </c>
      <c r="M21" s="236">
        <f t="shared" si="3"/>
        <v>2239.19</v>
      </c>
      <c r="N21" s="235">
        <f t="shared" si="4"/>
        <v>22</v>
      </c>
      <c r="O21" s="236">
        <f t="shared" si="5"/>
        <v>748.63</v>
      </c>
      <c r="P21" s="232">
        <f t="shared" si="0"/>
        <v>97</v>
      </c>
      <c r="Q21" s="219">
        <f t="shared" si="6"/>
        <v>2987.82</v>
      </c>
    </row>
    <row r="22" spans="1:17" ht="30" customHeight="1">
      <c r="A22" s="263">
        <f t="shared" si="1"/>
        <v>46161</v>
      </c>
      <c r="B22" s="273"/>
      <c r="C22" s="172"/>
      <c r="D22" s="172">
        <v>40</v>
      </c>
      <c r="E22" s="275">
        <v>1238.92</v>
      </c>
      <c r="F22" s="268"/>
      <c r="G22" s="114"/>
      <c r="H22" s="114"/>
      <c r="I22" s="115"/>
      <c r="J22" s="116">
        <v>34</v>
      </c>
      <c r="K22" s="225">
        <v>1117.07</v>
      </c>
      <c r="L22" s="235">
        <f t="shared" si="2"/>
        <v>0</v>
      </c>
      <c r="M22" s="236">
        <f t="shared" si="3"/>
        <v>0</v>
      </c>
      <c r="N22" s="235">
        <f t="shared" si="4"/>
        <v>74</v>
      </c>
      <c r="O22" s="236">
        <f t="shared" si="5"/>
        <v>2355.9899999999998</v>
      </c>
      <c r="P22" s="232">
        <f t="shared" si="0"/>
        <v>74</v>
      </c>
      <c r="Q22" s="219">
        <f t="shared" si="6"/>
        <v>2355.9899999999998</v>
      </c>
    </row>
    <row r="23" spans="1:17" ht="30" customHeight="1">
      <c r="A23" s="262">
        <f t="shared" si="1"/>
        <v>46162</v>
      </c>
      <c r="B23" s="273"/>
      <c r="C23" s="172"/>
      <c r="D23" s="172"/>
      <c r="E23" s="275"/>
      <c r="F23" s="268"/>
      <c r="G23" s="114"/>
      <c r="H23" s="114"/>
      <c r="I23" s="115"/>
      <c r="J23" s="116"/>
      <c r="K23" s="225"/>
      <c r="L23" s="235">
        <f t="shared" si="2"/>
        <v>0</v>
      </c>
      <c r="M23" s="236">
        <f t="shared" si="3"/>
        <v>0</v>
      </c>
      <c r="N23" s="235">
        <f t="shared" si="4"/>
        <v>0</v>
      </c>
      <c r="O23" s="236">
        <f t="shared" si="5"/>
        <v>0</v>
      </c>
      <c r="P23" s="232">
        <f t="shared" si="0"/>
        <v>0</v>
      </c>
      <c r="Q23" s="219">
        <f t="shared" si="6"/>
        <v>0</v>
      </c>
    </row>
    <row r="24" spans="1:17" ht="30" customHeight="1">
      <c r="A24" s="263">
        <f t="shared" si="1"/>
        <v>46163</v>
      </c>
      <c r="B24" s="273">
        <v>96</v>
      </c>
      <c r="C24" s="172">
        <v>2942.36</v>
      </c>
      <c r="D24" s="172"/>
      <c r="E24" s="275"/>
      <c r="F24" s="268"/>
      <c r="G24" s="114"/>
      <c r="H24" s="114"/>
      <c r="I24" s="115"/>
      <c r="J24" s="116"/>
      <c r="K24" s="225"/>
      <c r="L24" s="235">
        <f t="shared" si="2"/>
        <v>96</v>
      </c>
      <c r="M24" s="236">
        <f t="shared" si="3"/>
        <v>2942.36</v>
      </c>
      <c r="N24" s="235">
        <f t="shared" si="4"/>
        <v>0</v>
      </c>
      <c r="O24" s="236">
        <f t="shared" si="5"/>
        <v>0</v>
      </c>
      <c r="P24" s="232">
        <f t="shared" si="0"/>
        <v>96</v>
      </c>
      <c r="Q24" s="219">
        <f t="shared" si="6"/>
        <v>2942.36</v>
      </c>
    </row>
    <row r="25" spans="1:17" ht="30" customHeight="1">
      <c r="A25" s="262">
        <f t="shared" si="1"/>
        <v>46164</v>
      </c>
      <c r="B25" s="273"/>
      <c r="C25" s="172"/>
      <c r="D25" s="172"/>
      <c r="E25" s="275"/>
      <c r="F25" s="268"/>
      <c r="G25" s="114"/>
      <c r="H25" s="114"/>
      <c r="I25" s="115"/>
      <c r="J25" s="116">
        <v>52</v>
      </c>
      <c r="K25" s="225">
        <v>1884.27</v>
      </c>
      <c r="L25" s="235">
        <f t="shared" si="2"/>
        <v>0</v>
      </c>
      <c r="M25" s="236">
        <f t="shared" si="3"/>
        <v>0</v>
      </c>
      <c r="N25" s="235">
        <f t="shared" si="4"/>
        <v>52</v>
      </c>
      <c r="O25" s="236">
        <f t="shared" si="5"/>
        <v>1884.27</v>
      </c>
      <c r="P25" s="232">
        <f t="shared" si="0"/>
        <v>52</v>
      </c>
      <c r="Q25" s="219">
        <f t="shared" si="6"/>
        <v>1884.27</v>
      </c>
    </row>
    <row r="26" spans="1:17" ht="30" customHeight="1">
      <c r="A26" s="263">
        <f t="shared" si="1"/>
        <v>46165</v>
      </c>
      <c r="B26" s="273"/>
      <c r="C26" s="172"/>
      <c r="D26" s="172"/>
      <c r="E26" s="275"/>
      <c r="F26" s="268"/>
      <c r="G26" s="114"/>
      <c r="H26" s="114"/>
      <c r="I26" s="115"/>
      <c r="J26" s="116">
        <v>20</v>
      </c>
      <c r="K26" s="225">
        <v>701.22</v>
      </c>
      <c r="L26" s="235">
        <f t="shared" si="2"/>
        <v>0</v>
      </c>
      <c r="M26" s="236">
        <f t="shared" si="3"/>
        <v>0</v>
      </c>
      <c r="N26" s="235">
        <f t="shared" si="4"/>
        <v>20</v>
      </c>
      <c r="O26" s="236">
        <f t="shared" si="5"/>
        <v>701.22</v>
      </c>
      <c r="P26" s="232">
        <f t="shared" si="0"/>
        <v>20</v>
      </c>
      <c r="Q26" s="219">
        <f t="shared" si="6"/>
        <v>701.22</v>
      </c>
    </row>
    <row r="27" spans="1:17" ht="30" customHeight="1">
      <c r="A27" s="262">
        <f t="shared" si="1"/>
        <v>46166</v>
      </c>
      <c r="B27" s="273"/>
      <c r="C27" s="172"/>
      <c r="D27" s="172"/>
      <c r="E27" s="275"/>
      <c r="F27" s="268"/>
      <c r="G27" s="114"/>
      <c r="H27" s="114"/>
      <c r="I27" s="115"/>
      <c r="J27" s="116"/>
      <c r="K27" s="225"/>
      <c r="L27" s="235">
        <f t="shared" si="2"/>
        <v>0</v>
      </c>
      <c r="M27" s="236">
        <f t="shared" si="3"/>
        <v>0</v>
      </c>
      <c r="N27" s="235">
        <f t="shared" si="4"/>
        <v>0</v>
      </c>
      <c r="O27" s="236">
        <f t="shared" si="5"/>
        <v>0</v>
      </c>
      <c r="P27" s="232">
        <f t="shared" si="0"/>
        <v>0</v>
      </c>
      <c r="Q27" s="219">
        <f t="shared" si="6"/>
        <v>0</v>
      </c>
    </row>
    <row r="28" spans="1:17" ht="30" customHeight="1">
      <c r="A28" s="263">
        <f t="shared" si="1"/>
        <v>46167</v>
      </c>
      <c r="B28" s="273">
        <v>33</v>
      </c>
      <c r="C28" s="172">
        <v>1027.75</v>
      </c>
      <c r="D28" s="172"/>
      <c r="E28" s="275"/>
      <c r="F28" s="268"/>
      <c r="G28" s="114"/>
      <c r="H28" s="114"/>
      <c r="I28" s="115"/>
      <c r="J28" s="116"/>
      <c r="K28" s="225"/>
      <c r="L28" s="235">
        <f t="shared" si="2"/>
        <v>33</v>
      </c>
      <c r="M28" s="236">
        <f t="shared" si="3"/>
        <v>1027.75</v>
      </c>
      <c r="N28" s="235">
        <f t="shared" si="4"/>
        <v>0</v>
      </c>
      <c r="O28" s="236">
        <f t="shared" si="5"/>
        <v>0</v>
      </c>
      <c r="P28" s="232">
        <f t="shared" si="0"/>
        <v>33</v>
      </c>
      <c r="Q28" s="219">
        <f t="shared" si="6"/>
        <v>1027.75</v>
      </c>
    </row>
    <row r="29" spans="1:17" ht="30" customHeight="1">
      <c r="A29" s="262">
        <f t="shared" si="1"/>
        <v>46168</v>
      </c>
      <c r="B29" s="273"/>
      <c r="C29" s="172"/>
      <c r="D29" s="172">
        <v>40</v>
      </c>
      <c r="E29" s="275">
        <v>1437.02</v>
      </c>
      <c r="F29" s="268"/>
      <c r="G29" s="114"/>
      <c r="H29" s="114"/>
      <c r="I29" s="115"/>
      <c r="J29" s="116">
        <v>63</v>
      </c>
      <c r="K29" s="225">
        <v>2242.75</v>
      </c>
      <c r="L29" s="235">
        <f t="shared" si="2"/>
        <v>0</v>
      </c>
      <c r="M29" s="236">
        <f t="shared" si="3"/>
        <v>0</v>
      </c>
      <c r="N29" s="235">
        <f t="shared" si="4"/>
        <v>103</v>
      </c>
      <c r="O29" s="236">
        <f t="shared" si="5"/>
        <v>3679.77</v>
      </c>
      <c r="P29" s="232">
        <f t="shared" si="0"/>
        <v>103</v>
      </c>
      <c r="Q29" s="219">
        <f t="shared" si="6"/>
        <v>3679.77</v>
      </c>
    </row>
    <row r="30" spans="1:17" ht="30" customHeight="1">
      <c r="A30" s="263">
        <f t="shared" si="1"/>
        <v>46169</v>
      </c>
      <c r="B30" s="273"/>
      <c r="C30" s="172"/>
      <c r="D30" s="172"/>
      <c r="E30" s="275"/>
      <c r="F30" s="268"/>
      <c r="G30" s="114"/>
      <c r="H30" s="114"/>
      <c r="I30" s="115"/>
      <c r="J30" s="116"/>
      <c r="K30" s="225"/>
      <c r="L30" s="235">
        <f t="shared" si="2"/>
        <v>0</v>
      </c>
      <c r="M30" s="236">
        <f t="shared" si="3"/>
        <v>0</v>
      </c>
      <c r="N30" s="235">
        <f t="shared" si="4"/>
        <v>0</v>
      </c>
      <c r="O30" s="236">
        <f t="shared" si="5"/>
        <v>0</v>
      </c>
      <c r="P30" s="232">
        <f t="shared" si="0"/>
        <v>0</v>
      </c>
      <c r="Q30" s="219">
        <f t="shared" si="6"/>
        <v>0</v>
      </c>
    </row>
    <row r="31" spans="1:17" ht="30" customHeight="1">
      <c r="A31" s="262">
        <f t="shared" si="1"/>
        <v>46170</v>
      </c>
      <c r="B31" s="273">
        <v>65</v>
      </c>
      <c r="C31" s="172">
        <v>1955.08</v>
      </c>
      <c r="D31" s="172"/>
      <c r="E31" s="275"/>
      <c r="F31" s="268"/>
      <c r="G31" s="114"/>
      <c r="H31" s="114"/>
      <c r="I31" s="115"/>
      <c r="J31" s="116"/>
      <c r="K31" s="225"/>
      <c r="L31" s="235">
        <f t="shared" si="2"/>
        <v>65</v>
      </c>
      <c r="M31" s="236">
        <f t="shared" si="3"/>
        <v>1955.08</v>
      </c>
      <c r="N31" s="235">
        <f t="shared" si="4"/>
        <v>0</v>
      </c>
      <c r="O31" s="236">
        <f t="shared" si="5"/>
        <v>0</v>
      </c>
      <c r="P31" s="232">
        <f t="shared" si="0"/>
        <v>65</v>
      </c>
      <c r="Q31" s="219">
        <f t="shared" si="6"/>
        <v>1955.08</v>
      </c>
    </row>
    <row r="32" spans="1:17" ht="30" customHeight="1">
      <c r="A32" s="263">
        <f t="shared" si="1"/>
        <v>46171</v>
      </c>
      <c r="B32" s="273">
        <v>35</v>
      </c>
      <c r="C32" s="172">
        <v>1040.76</v>
      </c>
      <c r="D32" s="172">
        <v>15</v>
      </c>
      <c r="E32" s="275">
        <v>541.85</v>
      </c>
      <c r="F32" s="268"/>
      <c r="G32" s="114"/>
      <c r="H32" s="114"/>
      <c r="I32" s="115"/>
      <c r="J32" s="116">
        <v>18</v>
      </c>
      <c r="K32" s="225">
        <v>654.44000000000005</v>
      </c>
      <c r="L32" s="235">
        <f t="shared" si="2"/>
        <v>35</v>
      </c>
      <c r="M32" s="236">
        <f t="shared" si="3"/>
        <v>1040.76</v>
      </c>
      <c r="N32" s="235">
        <f t="shared" si="4"/>
        <v>33</v>
      </c>
      <c r="O32" s="236">
        <f t="shared" si="5"/>
        <v>1196.29</v>
      </c>
      <c r="P32" s="232">
        <f t="shared" si="0"/>
        <v>68</v>
      </c>
      <c r="Q32" s="219">
        <f t="shared" si="6"/>
        <v>2237.0500000000002</v>
      </c>
    </row>
    <row r="33" spans="1:17" ht="30" customHeight="1">
      <c r="A33" s="264">
        <f t="shared" si="1"/>
        <v>46172</v>
      </c>
      <c r="B33" s="273"/>
      <c r="C33" s="172"/>
      <c r="D33" s="172"/>
      <c r="E33" s="275"/>
      <c r="F33" s="268"/>
      <c r="G33" s="114"/>
      <c r="H33" s="114"/>
      <c r="I33" s="114"/>
      <c r="J33" s="205"/>
      <c r="K33" s="225"/>
      <c r="L33" s="235">
        <f t="shared" si="2"/>
        <v>0</v>
      </c>
      <c r="M33" s="236">
        <f t="shared" si="3"/>
        <v>0</v>
      </c>
      <c r="N33" s="235">
        <f t="shared" si="4"/>
        <v>0</v>
      </c>
      <c r="O33" s="236">
        <f t="shared" si="5"/>
        <v>0</v>
      </c>
      <c r="P33" s="232">
        <f t="shared" si="0"/>
        <v>0</v>
      </c>
      <c r="Q33" s="219">
        <f t="shared" si="6"/>
        <v>0</v>
      </c>
    </row>
    <row r="34" spans="1:17" ht="30" customHeight="1" thickBot="1">
      <c r="A34" s="291">
        <f t="shared" si="1"/>
        <v>46173</v>
      </c>
      <c r="B34" s="304"/>
      <c r="C34" s="305"/>
      <c r="D34" s="305"/>
      <c r="E34" s="306"/>
      <c r="F34" s="309"/>
      <c r="G34" s="310"/>
      <c r="H34" s="310"/>
      <c r="I34" s="311"/>
      <c r="J34" s="307"/>
      <c r="K34" s="308"/>
      <c r="L34" s="235">
        <f t="shared" si="2"/>
        <v>0</v>
      </c>
      <c r="M34" s="236">
        <f t="shared" si="3"/>
        <v>0</v>
      </c>
      <c r="N34" s="235">
        <f t="shared" si="4"/>
        <v>0</v>
      </c>
      <c r="O34" s="236">
        <f t="shared" si="5"/>
        <v>0</v>
      </c>
      <c r="P34" s="232">
        <f t="shared" si="0"/>
        <v>0</v>
      </c>
      <c r="Q34" s="219">
        <f t="shared" si="6"/>
        <v>0</v>
      </c>
    </row>
    <row r="35" spans="1:17" s="74" customFormat="1" ht="21.6" thickBot="1">
      <c r="A35" s="168" t="s">
        <v>27</v>
      </c>
      <c r="B35" s="173">
        <f t="shared" ref="B35:P35" si="7">SUM(B4:B34)</f>
        <v>677</v>
      </c>
      <c r="C35" s="173">
        <f t="shared" si="7"/>
        <v>20765.009999999998</v>
      </c>
      <c r="D35" s="173">
        <f t="shared" si="7"/>
        <v>391</v>
      </c>
      <c r="E35" s="173">
        <f t="shared" si="7"/>
        <v>12785.310000000001</v>
      </c>
      <c r="F35" s="174">
        <f t="shared" si="7"/>
        <v>0</v>
      </c>
      <c r="G35" s="174">
        <f t="shared" si="7"/>
        <v>0</v>
      </c>
      <c r="H35" s="174">
        <f t="shared" si="7"/>
        <v>0</v>
      </c>
      <c r="I35" s="174">
        <f t="shared" si="7"/>
        <v>0</v>
      </c>
      <c r="J35" s="176">
        <f t="shared" si="7"/>
        <v>414</v>
      </c>
      <c r="K35" s="226">
        <f t="shared" si="7"/>
        <v>14145.44</v>
      </c>
      <c r="L35" s="228">
        <f t="shared" ref="L35" si="8">+B35+F35</f>
        <v>677</v>
      </c>
      <c r="M35" s="229">
        <f t="shared" ref="M35" si="9">+C35+G35</f>
        <v>20765.009999999998</v>
      </c>
      <c r="N35" s="228">
        <f t="shared" ref="N35" si="10">+D35+H35+J35</f>
        <v>805</v>
      </c>
      <c r="O35" s="229">
        <f t="shared" ref="O35" si="11">E35+I35+K35</f>
        <v>26930.75</v>
      </c>
      <c r="P35" s="233">
        <f t="shared" si="7"/>
        <v>1482</v>
      </c>
      <c r="Q35" s="220">
        <f>SUM(Q4:Q34)</f>
        <v>47695.759999999995</v>
      </c>
    </row>
    <row r="36" spans="1:17" s="107" customFormat="1" ht="21.6" thickBot="1">
      <c r="A36" s="169" t="s">
        <v>52</v>
      </c>
      <c r="B36" s="122">
        <f>+B35+D35</f>
        <v>1068</v>
      </c>
      <c r="C36" s="361">
        <f>+C35+E35</f>
        <v>33550.32</v>
      </c>
      <c r="D36" s="362"/>
      <c r="E36" s="362"/>
      <c r="F36" s="175">
        <f>+F35+H35</f>
        <v>0</v>
      </c>
      <c r="G36" s="354">
        <f>+G35+I35</f>
        <v>0</v>
      </c>
      <c r="H36" s="355"/>
      <c r="I36" s="356"/>
      <c r="J36" s="177">
        <f>+J35</f>
        <v>414</v>
      </c>
      <c r="K36" s="227">
        <f>+K35</f>
        <v>14145.44</v>
      </c>
      <c r="L36" s="230"/>
      <c r="M36" s="357">
        <f>+M35+O35</f>
        <v>47695.759999999995</v>
      </c>
      <c r="N36" s="358"/>
      <c r="O36" s="231"/>
      <c r="P36" s="234">
        <f>+B36+F36+J36</f>
        <v>1482</v>
      </c>
      <c r="Q36" s="221">
        <f>+C36+G36+K36</f>
        <v>47695.76</v>
      </c>
    </row>
    <row r="37" spans="1:17" s="107" customFormat="1" ht="9" customHeight="1" thickBot="1">
      <c r="A37" s="142"/>
      <c r="B37" s="143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5"/>
      <c r="Q37" s="146"/>
    </row>
    <row r="38" spans="1:17" ht="36">
      <c r="A38" s="363" t="s">
        <v>106</v>
      </c>
      <c r="B38" s="364"/>
      <c r="C38" s="364"/>
      <c r="D38" s="163">
        <v>0</v>
      </c>
      <c r="E38" s="164" t="s">
        <v>136</v>
      </c>
      <c r="F38" s="155"/>
      <c r="G38" s="154" t="s">
        <v>112</v>
      </c>
      <c r="H38" s="156"/>
      <c r="I38" s="59"/>
      <c r="J38" s="59"/>
      <c r="K38" s="59"/>
      <c r="L38" s="59"/>
      <c r="M38" s="59"/>
      <c r="N38" s="59"/>
      <c r="O38" s="59"/>
      <c r="Q38" s="182"/>
    </row>
    <row r="39" spans="1:17" ht="18">
      <c r="A39" s="157" t="s">
        <v>107</v>
      </c>
      <c r="B39" s="137"/>
      <c r="C39" s="137"/>
      <c r="D39" s="30">
        <f>+K35</f>
        <v>14145.44</v>
      </c>
      <c r="E39" s="165" t="s">
        <v>53</v>
      </c>
      <c r="F39" s="38" t="s">
        <v>54</v>
      </c>
      <c r="G39" s="38" t="s">
        <v>53</v>
      </c>
      <c r="H39" s="158" t="s">
        <v>54</v>
      </c>
      <c r="I39" s="59"/>
      <c r="J39" s="59"/>
      <c r="K39" s="59"/>
      <c r="L39" s="59"/>
      <c r="M39" s="59"/>
      <c r="N39" s="59"/>
      <c r="O39" s="59"/>
    </row>
    <row r="40" spans="1:17" ht="18">
      <c r="A40" s="348" t="s">
        <v>108</v>
      </c>
      <c r="B40" s="349"/>
      <c r="C40" s="349"/>
      <c r="D40" s="30">
        <f>I35+G35</f>
        <v>0</v>
      </c>
      <c r="E40" s="166"/>
      <c r="F40" s="139"/>
      <c r="G40" s="138"/>
      <c r="H40" s="159"/>
      <c r="I40" s="59"/>
      <c r="J40" s="59"/>
      <c r="K40" s="59"/>
      <c r="L40" s="59"/>
      <c r="M40" s="59"/>
      <c r="N40" s="59"/>
      <c r="O40" s="59"/>
    </row>
    <row r="41" spans="1:17" ht="18.600000000000001" thickBot="1">
      <c r="A41" s="359" t="s">
        <v>75</v>
      </c>
      <c r="B41" s="360"/>
      <c r="C41" s="360"/>
      <c r="D41" s="160">
        <f>C35+E35</f>
        <v>33550.32</v>
      </c>
      <c r="E41" s="167"/>
      <c r="F41" s="161"/>
      <c r="G41" s="161"/>
      <c r="H41" s="162"/>
      <c r="I41" s="59"/>
      <c r="J41" s="59"/>
      <c r="K41" s="59"/>
      <c r="L41" s="59"/>
      <c r="M41" s="59"/>
      <c r="N41" s="59"/>
      <c r="O41" s="59"/>
    </row>
    <row r="42" spans="1:17">
      <c r="A42" s="151" t="s">
        <v>31</v>
      </c>
      <c r="B42" s="151"/>
      <c r="C42" s="152"/>
      <c r="D42" s="153">
        <f>SUM(D38:D41)</f>
        <v>47695.76</v>
      </c>
      <c r="E42" s="147" t="s">
        <v>113</v>
      </c>
      <c r="F42" s="148">
        <f>+C35+G35</f>
        <v>20765.009999999998</v>
      </c>
      <c r="L42"/>
      <c r="M42"/>
      <c r="N42"/>
      <c r="O42"/>
    </row>
    <row r="43" spans="1:17">
      <c r="E43" s="147" t="s">
        <v>114</v>
      </c>
      <c r="F43" s="148">
        <f>+E35+I35+K35</f>
        <v>26930.75</v>
      </c>
      <c r="L43"/>
      <c r="M43"/>
      <c r="N43"/>
      <c r="O43"/>
    </row>
    <row r="44" spans="1:17" ht="18.600000000000001" thickBot="1">
      <c r="C44" s="141"/>
      <c r="E44" s="149" t="s">
        <v>115</v>
      </c>
      <c r="F44" s="150">
        <f>SUM(F42:F43)</f>
        <v>47695.759999999995</v>
      </c>
      <c r="L44"/>
      <c r="M44"/>
      <c r="N44"/>
      <c r="O44"/>
    </row>
    <row r="45" spans="1:17">
      <c r="L45"/>
      <c r="M45"/>
      <c r="N45"/>
      <c r="O45"/>
    </row>
    <row r="46" spans="1:17">
      <c r="L46"/>
      <c r="M46"/>
      <c r="N46"/>
      <c r="O46"/>
    </row>
    <row r="47" spans="1:17">
      <c r="L47"/>
      <c r="M47"/>
      <c r="N47"/>
      <c r="O47"/>
    </row>
    <row r="48" spans="1:17">
      <c r="L48"/>
      <c r="M48"/>
      <c r="N48"/>
      <c r="O48"/>
    </row>
    <row r="49" spans="12:15">
      <c r="L49"/>
      <c r="M49"/>
      <c r="N49"/>
      <c r="O49"/>
    </row>
    <row r="50" spans="12:15">
      <c r="L50"/>
      <c r="M50"/>
      <c r="N50"/>
      <c r="O50"/>
    </row>
    <row r="51" spans="12:15">
      <c r="L51"/>
      <c r="M51"/>
      <c r="N51"/>
      <c r="O51"/>
    </row>
    <row r="52" spans="12:15">
      <c r="L52"/>
      <c r="M52"/>
      <c r="N52"/>
      <c r="O52"/>
    </row>
    <row r="53" spans="12:15">
      <c r="L53"/>
      <c r="M53"/>
      <c r="N53"/>
      <c r="O53"/>
    </row>
    <row r="54" spans="12:15">
      <c r="L54"/>
      <c r="M54"/>
      <c r="N54"/>
      <c r="O54"/>
    </row>
    <row r="55" spans="12:15">
      <c r="L55"/>
      <c r="M55"/>
      <c r="N55"/>
      <c r="O55"/>
    </row>
    <row r="56" spans="12:15">
      <c r="L56"/>
      <c r="M56"/>
      <c r="N56"/>
      <c r="O56"/>
    </row>
    <row r="57" spans="12:15">
      <c r="L57"/>
      <c r="M57"/>
      <c r="N57"/>
      <c r="O57"/>
    </row>
    <row r="58" spans="12:15">
      <c r="L58"/>
      <c r="M58"/>
      <c r="N58"/>
      <c r="O58"/>
    </row>
    <row r="59" spans="12:15">
      <c r="L59"/>
      <c r="M59"/>
      <c r="N59"/>
      <c r="O59"/>
    </row>
    <row r="60" spans="12:15">
      <c r="L60"/>
      <c r="M60"/>
      <c r="N60"/>
      <c r="O60"/>
    </row>
    <row r="61" spans="12:15">
      <c r="L61"/>
      <c r="M61"/>
      <c r="N61"/>
      <c r="O61"/>
    </row>
    <row r="62" spans="12:15">
      <c r="L62"/>
      <c r="M62"/>
      <c r="N62"/>
      <c r="O62"/>
    </row>
    <row r="63" spans="12:15">
      <c r="L63"/>
      <c r="M63"/>
      <c r="N63"/>
      <c r="O63"/>
    </row>
    <row r="64" spans="12:15">
      <c r="L64"/>
      <c r="M64"/>
      <c r="N64"/>
      <c r="O64"/>
    </row>
    <row r="65" spans="12:15">
      <c r="L65"/>
      <c r="M65"/>
      <c r="N65"/>
      <c r="O65"/>
    </row>
    <row r="66" spans="12:15">
      <c r="L66"/>
      <c r="M66"/>
      <c r="N66"/>
      <c r="O66"/>
    </row>
    <row r="67" spans="12:15">
      <c r="L67"/>
      <c r="M67"/>
      <c r="N67"/>
      <c r="O67"/>
    </row>
  </sheetData>
  <mergeCells count="14">
    <mergeCell ref="A41:C41"/>
    <mergeCell ref="C36:E36"/>
    <mergeCell ref="A38:C38"/>
    <mergeCell ref="B2:E2"/>
    <mergeCell ref="F2:I2"/>
    <mergeCell ref="A1:K1"/>
    <mergeCell ref="L1:Q1"/>
    <mergeCell ref="J2:K2"/>
    <mergeCell ref="A40:C40"/>
    <mergeCell ref="P2:Q2"/>
    <mergeCell ref="L2:M2"/>
    <mergeCell ref="N2:O2"/>
    <mergeCell ref="G36:I36"/>
    <mergeCell ref="M36:N36"/>
  </mergeCells>
  <printOptions horizontalCentered="1"/>
  <pageMargins left="0.19685039370078741" right="0.15748031496062992" top="0.15748031496062992" bottom="0.15748031496062992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TRIP DETAILs</vt:lpstr>
      <vt:lpstr>MAY-2025</vt:lpstr>
      <vt:lpstr>SHIFTING DATA</vt:lpstr>
      <vt:lpstr>'MAY-2025'!Print_Area</vt:lpstr>
      <vt:lpstr>'SHIFTING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</dc:creator>
  <cp:lastModifiedBy>Kshirod kumar Barik</cp:lastModifiedBy>
  <cp:lastPrinted>2025-06-28T06:23:23Z</cp:lastPrinted>
  <dcterms:created xsi:type="dcterms:W3CDTF">2015-06-05T18:17:00Z</dcterms:created>
  <dcterms:modified xsi:type="dcterms:W3CDTF">2026-06-01T02:20:35Z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03F6545FC5444F3DA1AA6879D377E1EA</vt:lpwstr>
  </property>
  <property fmtid="{D5CDD505-2E9C-101B-9397-08002B2CF9AE}" pid="3" name="KSOProductBuildVer">
    <vt:lpwstr>2057-11.2.0.11440</vt:lpwstr>
  </property>
</Properties>
</file>