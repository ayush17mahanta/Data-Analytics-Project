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hatsapp Daily folder\APRIL-2026\"/>
    </mc:Choice>
  </mc:AlternateContent>
  <xr:revisionPtr revIDLastSave="0" documentId="13_ncr:1_{1190D3DF-17A9-408F-B336-CB9966A80E03}" xr6:coauthVersionLast="47" xr6:coauthVersionMax="47" xr10:uidLastSave="{00000000-0000-0000-0000-000000000000}"/>
  <bookViews>
    <workbookView xWindow="-108" yWindow="-108" windowWidth="23256" windowHeight="12456" tabRatio="421" activeTab="1" xr2:uid="{00000000-000D-0000-FFFF-FFFF00000000}"/>
  </bookViews>
  <sheets>
    <sheet name="TRIP DETAILs" sheetId="1" r:id="rId1"/>
    <sheet name="APRIL-2026" sheetId="9" r:id="rId2"/>
    <sheet name="SHIFTING DATA" sheetId="11" r:id="rId3"/>
  </sheets>
  <definedNames>
    <definedName name="_xlnm._FilterDatabase" localSheetId="1" hidden="1">'APRIL-2026'!$A$1:$CZ$39</definedName>
    <definedName name="_xlnm.Print_Area" localSheetId="1">'APRIL-2026'!$A$1:$CA$34</definedName>
    <definedName name="_xlnm.Print_Area" localSheetId="2">'SHIFTING DATA'!$A$1:$K$45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X34" i="9" l="1"/>
  <c r="CB32" i="9" l="1"/>
  <c r="CF36" i="9"/>
  <c r="CE36" i="9"/>
  <c r="CE35" i="9"/>
  <c r="CC32" i="9"/>
  <c r="CB31" i="9"/>
  <c r="CC31" i="9"/>
  <c r="CI31" i="9"/>
  <c r="CB30" i="9" l="1"/>
  <c r="CI30" i="9"/>
  <c r="CC30" i="9"/>
  <c r="CB29" i="9"/>
  <c r="CC29" i="9"/>
  <c r="DK4" i="9" l="1"/>
  <c r="DK5" i="9"/>
  <c r="DK6" i="9"/>
  <c r="DK7" i="9"/>
  <c r="DK8" i="9"/>
  <c r="DK9" i="9"/>
  <c r="DK10" i="9"/>
  <c r="DK11" i="9"/>
  <c r="DK12" i="9"/>
  <c r="DK13" i="9"/>
  <c r="DK14" i="9"/>
  <c r="DK15" i="9"/>
  <c r="DK16" i="9"/>
  <c r="DK17" i="9"/>
  <c r="DK18" i="9"/>
  <c r="DK19" i="9"/>
  <c r="DK20" i="9"/>
  <c r="DK21" i="9"/>
  <c r="DK22" i="9"/>
  <c r="DK23" i="9"/>
  <c r="DK24" i="9"/>
  <c r="DK25" i="9"/>
  <c r="DK26" i="9"/>
  <c r="DK27" i="9"/>
  <c r="DK28" i="9"/>
  <c r="DK29" i="9"/>
  <c r="DK33" i="9"/>
  <c r="DK3" i="9"/>
  <c r="DJ4" i="9"/>
  <c r="DJ5" i="9"/>
  <c r="DJ6" i="9"/>
  <c r="DJ7" i="9"/>
  <c r="DJ8" i="9"/>
  <c r="DJ9" i="9"/>
  <c r="DJ10" i="9"/>
  <c r="DJ11" i="9"/>
  <c r="DJ12" i="9"/>
  <c r="DJ13" i="9"/>
  <c r="DJ14" i="9"/>
  <c r="DJ15" i="9"/>
  <c r="DJ16" i="9"/>
  <c r="DJ17" i="9"/>
  <c r="DJ18" i="9"/>
  <c r="DJ19" i="9"/>
  <c r="DJ20" i="9"/>
  <c r="DJ21" i="9"/>
  <c r="DJ22" i="9"/>
  <c r="DJ23" i="9"/>
  <c r="DJ24" i="9"/>
  <c r="DJ25" i="9"/>
  <c r="DJ26" i="9"/>
  <c r="DJ27" i="9"/>
  <c r="DJ28" i="9"/>
  <c r="DJ29" i="9"/>
  <c r="DJ33" i="9"/>
  <c r="DJ3" i="9"/>
  <c r="DF4" i="9"/>
  <c r="DG4" i="9" s="1"/>
  <c r="DH4" i="9"/>
  <c r="DI4" i="9"/>
  <c r="DF5" i="9"/>
  <c r="DG5" i="9"/>
  <c r="DH5" i="9"/>
  <c r="DI5" i="9"/>
  <c r="DF6" i="9"/>
  <c r="DG6" i="9" s="1"/>
  <c r="DH6" i="9"/>
  <c r="DI6" i="9"/>
  <c r="DF7" i="9"/>
  <c r="DG7" i="9"/>
  <c r="DH7" i="9"/>
  <c r="DI7" i="9"/>
  <c r="DF8" i="9"/>
  <c r="DG8" i="9" s="1"/>
  <c r="DH8" i="9"/>
  <c r="DI8" i="9"/>
  <c r="DF9" i="9"/>
  <c r="DG9" i="9"/>
  <c r="DH9" i="9"/>
  <c r="DI9" i="9"/>
  <c r="DF10" i="9"/>
  <c r="DG10" i="9" s="1"/>
  <c r="DH10" i="9"/>
  <c r="DI10" i="9"/>
  <c r="DF11" i="9"/>
  <c r="DG11" i="9"/>
  <c r="DH11" i="9"/>
  <c r="DI11" i="9"/>
  <c r="DF12" i="9"/>
  <c r="DG12" i="9" s="1"/>
  <c r="DH12" i="9"/>
  <c r="DI12" i="9"/>
  <c r="DF13" i="9"/>
  <c r="DG13" i="9"/>
  <c r="DH13" i="9"/>
  <c r="DI13" i="9"/>
  <c r="DF14" i="9"/>
  <c r="DG14" i="9" s="1"/>
  <c r="DH14" i="9"/>
  <c r="DI14" i="9"/>
  <c r="DF15" i="9"/>
  <c r="DG15" i="9"/>
  <c r="DH15" i="9"/>
  <c r="DI15" i="9"/>
  <c r="DF16" i="9"/>
  <c r="DG16" i="9" s="1"/>
  <c r="DH16" i="9"/>
  <c r="DI16" i="9"/>
  <c r="DF17" i="9"/>
  <c r="DG17" i="9"/>
  <c r="DH17" i="9"/>
  <c r="DI17" i="9"/>
  <c r="DF18" i="9"/>
  <c r="DG18" i="9" s="1"/>
  <c r="DH18" i="9"/>
  <c r="DI18" i="9"/>
  <c r="DF19" i="9"/>
  <c r="DG19" i="9"/>
  <c r="DH19" i="9"/>
  <c r="DI19" i="9"/>
  <c r="DF20" i="9"/>
  <c r="DG20" i="9" s="1"/>
  <c r="DH20" i="9"/>
  <c r="DI20" i="9"/>
  <c r="DF21" i="9"/>
  <c r="DG21" i="9"/>
  <c r="DH21" i="9"/>
  <c r="DI21" i="9"/>
  <c r="DF22" i="9"/>
  <c r="DG22" i="9" s="1"/>
  <c r="DH22" i="9"/>
  <c r="DI22" i="9"/>
  <c r="DF23" i="9"/>
  <c r="DG23" i="9"/>
  <c r="DH23" i="9"/>
  <c r="DI23" i="9"/>
  <c r="DF24" i="9"/>
  <c r="DG24" i="9" s="1"/>
  <c r="DH24" i="9"/>
  <c r="DI24" i="9"/>
  <c r="DF25" i="9"/>
  <c r="DG25" i="9"/>
  <c r="DH25" i="9"/>
  <c r="DI25" i="9"/>
  <c r="DF26" i="9"/>
  <c r="DG26" i="9" s="1"/>
  <c r="DH26" i="9"/>
  <c r="DI26" i="9"/>
  <c r="DF27" i="9"/>
  <c r="DG27" i="9"/>
  <c r="DH27" i="9"/>
  <c r="DI27" i="9"/>
  <c r="DF28" i="9"/>
  <c r="DG28" i="9" s="1"/>
  <c r="DH28" i="9"/>
  <c r="DI28" i="9"/>
  <c r="DF29" i="9"/>
  <c r="DG29" i="9"/>
  <c r="DH29" i="9"/>
  <c r="DI29" i="9"/>
  <c r="DF30" i="9"/>
  <c r="DG30" i="9" s="1"/>
  <c r="DH30" i="9"/>
  <c r="DF31" i="9"/>
  <c r="DG31" i="9"/>
  <c r="DH31" i="9"/>
  <c r="DJ31" i="9" s="1"/>
  <c r="DK31" i="9" s="1"/>
  <c r="DF32" i="9"/>
  <c r="DG32" i="9" s="1"/>
  <c r="DG34" i="9" s="1"/>
  <c r="DH32" i="9"/>
  <c r="DJ32" i="9" s="1"/>
  <c r="DK32" i="9" s="1"/>
  <c r="DI32" i="9"/>
  <c r="DF33" i="9"/>
  <c r="DG33" i="9"/>
  <c r="DH33" i="9"/>
  <c r="DI33" i="9"/>
  <c r="DI3" i="9"/>
  <c r="DH3" i="9"/>
  <c r="DG3" i="9"/>
  <c r="DF3" i="9"/>
  <c r="DE4" i="9"/>
  <c r="DE5" i="9" s="1"/>
  <c r="DE6" i="9" s="1"/>
  <c r="DE7" i="9" s="1"/>
  <c r="DE8" i="9" s="1"/>
  <c r="DE9" i="9" s="1"/>
  <c r="DE10" i="9" s="1"/>
  <c r="DE11" i="9" s="1"/>
  <c r="DE12" i="9" s="1"/>
  <c r="DE13" i="9" s="1"/>
  <c r="DE14" i="9" s="1"/>
  <c r="DE15" i="9" s="1"/>
  <c r="DE16" i="9" s="1"/>
  <c r="DE17" i="9" s="1"/>
  <c r="DE18" i="9" s="1"/>
  <c r="DE19" i="9" s="1"/>
  <c r="DE20" i="9" s="1"/>
  <c r="DE21" i="9" s="1"/>
  <c r="DE22" i="9" s="1"/>
  <c r="DE23" i="9" s="1"/>
  <c r="DE24" i="9" s="1"/>
  <c r="DE25" i="9" s="1"/>
  <c r="DE26" i="9" s="1"/>
  <c r="DE27" i="9" s="1"/>
  <c r="DE28" i="9" s="1"/>
  <c r="DE29" i="9" s="1"/>
  <c r="DE30" i="9" s="1"/>
  <c r="DE31" i="9" s="1"/>
  <c r="DE32" i="9" s="1"/>
  <c r="DE33" i="9" s="1"/>
  <c r="CB27" i="9"/>
  <c r="CB26" i="9"/>
  <c r="CE37" i="9"/>
  <c r="CC26" i="9"/>
  <c r="CB25" i="9"/>
  <c r="CB24" i="9"/>
  <c r="CC24" i="9"/>
  <c r="DI31" i="9" l="1"/>
  <c r="DH34" i="9"/>
  <c r="DI30" i="9"/>
  <c r="DI34" i="9" s="1"/>
  <c r="DJ30" i="9"/>
  <c r="DK30" i="9" s="1"/>
  <c r="DK34" i="9" s="1"/>
  <c r="CB23" i="9"/>
  <c r="CC23" i="9"/>
  <c r="CB22" i="9"/>
  <c r="CC22" i="9"/>
  <c r="CI22" i="9"/>
  <c r="CB20" i="9"/>
  <c r="CC20" i="9"/>
  <c r="CI20" i="9"/>
  <c r="DJ34" i="9" l="1"/>
  <c r="CU18" i="9"/>
  <c r="CB19" i="9" l="1"/>
  <c r="CB18" i="9"/>
  <c r="CC18" i="9"/>
  <c r="BL16" i="9"/>
  <c r="BL17" i="9"/>
  <c r="BL18" i="9"/>
  <c r="CB17" i="9"/>
  <c r="CF17" i="9"/>
  <c r="CG17" i="9"/>
  <c r="CB16" i="9"/>
  <c r="CC16" i="9"/>
  <c r="CB15" i="9"/>
  <c r="CC15" i="9"/>
  <c r="CC13" i="9"/>
  <c r="CB12" i="9"/>
  <c r="CC12" i="9"/>
  <c r="CI12" i="9"/>
  <c r="CB11" i="9" l="1"/>
  <c r="CC11" i="9"/>
  <c r="CC10" i="9"/>
  <c r="CH10" i="9"/>
  <c r="AI34" i="9"/>
  <c r="CB9" i="9" l="1"/>
  <c r="CC9" i="9"/>
  <c r="C10" i="11"/>
  <c r="C9" i="11"/>
  <c r="CB8" i="9" l="1"/>
  <c r="CC8" i="9"/>
  <c r="CC7" i="9" l="1"/>
  <c r="CB6" i="9" l="1"/>
  <c r="CC6" i="9"/>
  <c r="BQ5" i="9"/>
  <c r="CB5" i="9" l="1"/>
  <c r="CU4" i="9"/>
  <c r="CU5" i="9"/>
  <c r="CU6" i="9"/>
  <c r="CU7" i="9"/>
  <c r="CU8" i="9"/>
  <c r="CU9" i="9"/>
  <c r="CU10" i="9"/>
  <c r="CU11" i="9"/>
  <c r="CU12" i="9"/>
  <c r="CU13" i="9"/>
  <c r="CU14" i="9"/>
  <c r="CU15" i="9"/>
  <c r="CU16" i="9"/>
  <c r="CU17" i="9"/>
  <c r="CU19" i="9"/>
  <c r="CU20" i="9"/>
  <c r="CU21" i="9"/>
  <c r="CU22" i="9"/>
  <c r="CU23" i="9"/>
  <c r="CU24" i="9"/>
  <c r="CU25" i="9"/>
  <c r="CU26" i="9"/>
  <c r="CU27" i="9"/>
  <c r="CU28" i="9"/>
  <c r="CU29" i="9"/>
  <c r="CU30" i="9"/>
  <c r="CU31" i="9"/>
  <c r="CU32" i="9"/>
  <c r="CU33" i="9"/>
  <c r="CU3" i="9"/>
  <c r="CB4" i="9" l="1"/>
  <c r="CC4" i="9"/>
  <c r="BQ4" i="9"/>
  <c r="BR4" i="9"/>
  <c r="BS4" i="9"/>
  <c r="BR5" i="9"/>
  <c r="BS5" i="9"/>
  <c r="BQ6" i="9"/>
  <c r="BR6" i="9"/>
  <c r="BS6" i="9"/>
  <c r="BQ7" i="9"/>
  <c r="BR7" i="9"/>
  <c r="BS7" i="9"/>
  <c r="BQ8" i="9"/>
  <c r="BR8" i="9"/>
  <c r="BS8" i="9"/>
  <c r="BQ9" i="9"/>
  <c r="BR9" i="9"/>
  <c r="BS9" i="9"/>
  <c r="BQ10" i="9"/>
  <c r="BR10" i="9"/>
  <c r="BS10" i="9"/>
  <c r="BQ11" i="9"/>
  <c r="BR11" i="9"/>
  <c r="BS11" i="9"/>
  <c r="BQ12" i="9"/>
  <c r="BR12" i="9"/>
  <c r="BS12" i="9"/>
  <c r="BQ13" i="9"/>
  <c r="BR13" i="9"/>
  <c r="BS13" i="9"/>
  <c r="BQ14" i="9"/>
  <c r="BR14" i="9"/>
  <c r="BS14" i="9"/>
  <c r="BQ15" i="9"/>
  <c r="BR15" i="9"/>
  <c r="BS15" i="9"/>
  <c r="BQ16" i="9"/>
  <c r="BR16" i="9"/>
  <c r="BS16" i="9"/>
  <c r="BQ17" i="9"/>
  <c r="BR17" i="9"/>
  <c r="BS17" i="9"/>
  <c r="BQ18" i="9"/>
  <c r="BR18" i="9"/>
  <c r="BS18" i="9"/>
  <c r="BQ19" i="9"/>
  <c r="BR19" i="9"/>
  <c r="BS19" i="9"/>
  <c r="BQ20" i="9"/>
  <c r="BR20" i="9"/>
  <c r="BS20" i="9"/>
  <c r="BQ21" i="9"/>
  <c r="BR21" i="9"/>
  <c r="BS21" i="9"/>
  <c r="BQ22" i="9"/>
  <c r="BR22" i="9"/>
  <c r="BS22" i="9"/>
  <c r="BQ23" i="9"/>
  <c r="BR23" i="9"/>
  <c r="BS23" i="9"/>
  <c r="BQ24" i="9"/>
  <c r="BR24" i="9"/>
  <c r="BS24" i="9"/>
  <c r="BQ25" i="9"/>
  <c r="BR25" i="9"/>
  <c r="BS25" i="9"/>
  <c r="BQ26" i="9"/>
  <c r="BR26" i="9"/>
  <c r="BS26" i="9"/>
  <c r="BQ27" i="9"/>
  <c r="BR27" i="9"/>
  <c r="BS27" i="9"/>
  <c r="BQ28" i="9"/>
  <c r="BR28" i="9"/>
  <c r="BS28" i="9"/>
  <c r="BQ29" i="9"/>
  <c r="BR29" i="9"/>
  <c r="BS29" i="9"/>
  <c r="BQ30" i="9"/>
  <c r="BR30" i="9"/>
  <c r="BS30" i="9"/>
  <c r="BQ31" i="9"/>
  <c r="BR31" i="9"/>
  <c r="BS31" i="9"/>
  <c r="BQ32" i="9"/>
  <c r="BR32" i="9"/>
  <c r="BS32" i="9"/>
  <c r="BQ33" i="9"/>
  <c r="BR33" i="9"/>
  <c r="BS33" i="9"/>
  <c r="BS3" i="9"/>
  <c r="BR3" i="9"/>
  <c r="BT3" i="9" s="1"/>
  <c r="BQ3" i="9"/>
  <c r="CN4" i="9" l="1"/>
  <c r="CN5" i="9"/>
  <c r="CN6" i="9"/>
  <c r="CN7" i="9"/>
  <c r="CN8" i="9"/>
  <c r="CN9" i="9"/>
  <c r="CN10" i="9"/>
  <c r="CN11" i="9"/>
  <c r="CN12" i="9"/>
  <c r="CN13" i="9"/>
  <c r="CN14" i="9"/>
  <c r="CN15" i="9"/>
  <c r="CN16" i="9"/>
  <c r="CN17" i="9"/>
  <c r="CN18" i="9"/>
  <c r="CN19" i="9"/>
  <c r="CN20" i="9"/>
  <c r="CN21" i="9"/>
  <c r="CN22" i="9"/>
  <c r="CN23" i="9"/>
  <c r="CN24" i="9"/>
  <c r="CN25" i="9"/>
  <c r="CN26" i="9"/>
  <c r="CN27" i="9"/>
  <c r="CN28" i="9"/>
  <c r="CN29" i="9"/>
  <c r="CN30" i="9"/>
  <c r="CN31" i="9"/>
  <c r="CN32" i="9"/>
  <c r="CN33" i="9"/>
  <c r="AH4" i="9"/>
  <c r="AH5" i="9"/>
  <c r="AH6" i="9"/>
  <c r="AH7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BT5" i="9"/>
  <c r="BT6" i="9"/>
  <c r="BT7" i="9"/>
  <c r="BT8" i="9"/>
  <c r="BT9" i="9"/>
  <c r="BT10" i="9"/>
  <c r="BT11" i="9"/>
  <c r="BT12" i="9"/>
  <c r="BT13" i="9"/>
  <c r="BT14" i="9"/>
  <c r="BT15" i="9"/>
  <c r="BT16" i="9"/>
  <c r="BT17" i="9"/>
  <c r="BT18" i="9"/>
  <c r="BT19" i="9"/>
  <c r="BT20" i="9"/>
  <c r="BT21" i="9"/>
  <c r="BT22" i="9"/>
  <c r="BT23" i="9"/>
  <c r="BT24" i="9"/>
  <c r="BT25" i="9"/>
  <c r="BT26" i="9"/>
  <c r="BT27" i="9"/>
  <c r="BT28" i="9"/>
  <c r="BT29" i="9"/>
  <c r="BT30" i="9"/>
  <c r="BT31" i="9"/>
  <c r="BT32" i="9"/>
  <c r="BT33" i="9"/>
  <c r="BR34" i="9" l="1"/>
  <c r="CB3" i="9"/>
  <c r="CC3" i="9"/>
  <c r="CN3" i="9"/>
  <c r="CA3" i="9" l="1"/>
  <c r="AD3" i="9"/>
  <c r="AH3" i="9"/>
  <c r="CY3" i="9"/>
  <c r="CX3" i="9"/>
  <c r="CJ4" i="9"/>
  <c r="CJ5" i="9"/>
  <c r="CJ6" i="9"/>
  <c r="CJ7" i="9"/>
  <c r="CJ8" i="9"/>
  <c r="CJ9" i="9"/>
  <c r="CJ10" i="9"/>
  <c r="CJ11" i="9"/>
  <c r="CJ12" i="9"/>
  <c r="CJ13" i="9"/>
  <c r="CJ14" i="9"/>
  <c r="CJ15" i="9"/>
  <c r="CJ16" i="9"/>
  <c r="CJ17" i="9"/>
  <c r="CJ18" i="9"/>
  <c r="CJ19" i="9"/>
  <c r="CJ20" i="9"/>
  <c r="CJ21" i="9"/>
  <c r="CJ22" i="9"/>
  <c r="CJ23" i="9"/>
  <c r="CJ24" i="9"/>
  <c r="CJ25" i="9"/>
  <c r="CJ26" i="9"/>
  <c r="CJ27" i="9"/>
  <c r="CJ28" i="9"/>
  <c r="CJ29" i="9"/>
  <c r="CJ30" i="9"/>
  <c r="CJ31" i="9"/>
  <c r="CJ32" i="9"/>
  <c r="CJ33" i="9"/>
  <c r="CJ3" i="9"/>
  <c r="CD4" i="9"/>
  <c r="CD5" i="9"/>
  <c r="CD6" i="9"/>
  <c r="CD7" i="9"/>
  <c r="CD8" i="9"/>
  <c r="CD9" i="9"/>
  <c r="CD10" i="9"/>
  <c r="CD11" i="9"/>
  <c r="CD12" i="9"/>
  <c r="CD13" i="9"/>
  <c r="CD14" i="9"/>
  <c r="CD15" i="9"/>
  <c r="CD16" i="9"/>
  <c r="CD17" i="9"/>
  <c r="CD18" i="9"/>
  <c r="CD19" i="9"/>
  <c r="CD20" i="9"/>
  <c r="CD21" i="9"/>
  <c r="CD22" i="9"/>
  <c r="CD23" i="9"/>
  <c r="CD24" i="9"/>
  <c r="CD25" i="9"/>
  <c r="CD26" i="9"/>
  <c r="CD27" i="9"/>
  <c r="CD28" i="9"/>
  <c r="CD29" i="9"/>
  <c r="CD30" i="9"/>
  <c r="CD31" i="9"/>
  <c r="CD32" i="9"/>
  <c r="CD33" i="9"/>
  <c r="CD3" i="9"/>
  <c r="CX4" i="9"/>
  <c r="CX5" i="9"/>
  <c r="CX6" i="9"/>
  <c r="CX7" i="9"/>
  <c r="CX8" i="9"/>
  <c r="CX9" i="9"/>
  <c r="CX10" i="9"/>
  <c r="CX11" i="9"/>
  <c r="CX12" i="9"/>
  <c r="CX13" i="9"/>
  <c r="CX14" i="9"/>
  <c r="CA4" i="9"/>
  <c r="CA5" i="9"/>
  <c r="CA6" i="9"/>
  <c r="CA7" i="9"/>
  <c r="CA8" i="9"/>
  <c r="CA9" i="9"/>
  <c r="CA10" i="9"/>
  <c r="CA11" i="9"/>
  <c r="CA12" i="9"/>
  <c r="CA13" i="9"/>
  <c r="CA14" i="9"/>
  <c r="CA15" i="9"/>
  <c r="CA16" i="9"/>
  <c r="CA17" i="9"/>
  <c r="CA18" i="9"/>
  <c r="CA19" i="9"/>
  <c r="CA20" i="9"/>
  <c r="CA21" i="9"/>
  <c r="CA22" i="9"/>
  <c r="CA23" i="9"/>
  <c r="CA24" i="9"/>
  <c r="CA25" i="9"/>
  <c r="CA26" i="9"/>
  <c r="CA28" i="9"/>
  <c r="CA29" i="9"/>
  <c r="CA30" i="9"/>
  <c r="CA31" i="9"/>
  <c r="CA32" i="9"/>
  <c r="CA33" i="9"/>
  <c r="CW3" i="9"/>
  <c r="BT4" i="9"/>
  <c r="BL3" i="9"/>
  <c r="CV3" i="9" s="1"/>
  <c r="BB4" i="9"/>
  <c r="BB5" i="9"/>
  <c r="BB6" i="9"/>
  <c r="BB7" i="9"/>
  <c r="BB8" i="9"/>
  <c r="BB9" i="9"/>
  <c r="BB10" i="9"/>
  <c r="BB11" i="9"/>
  <c r="BB12" i="9"/>
  <c r="BB13" i="9"/>
  <c r="BB14" i="9"/>
  <c r="BB15" i="9"/>
  <c r="BB16" i="9"/>
  <c r="BB17" i="9"/>
  <c r="BB18" i="9"/>
  <c r="BB19" i="9"/>
  <c r="BB20" i="9"/>
  <c r="BB21" i="9"/>
  <c r="BB22" i="9"/>
  <c r="BB23" i="9"/>
  <c r="BB24" i="9"/>
  <c r="BB25" i="9"/>
  <c r="BB26" i="9"/>
  <c r="BB27" i="9"/>
  <c r="BB28" i="9"/>
  <c r="BB29" i="9"/>
  <c r="BB30" i="9"/>
  <c r="BB31" i="9"/>
  <c r="BB32" i="9"/>
  <c r="BB33" i="9"/>
  <c r="BB3" i="9"/>
  <c r="AP4" i="9"/>
  <c r="AP5" i="9"/>
  <c r="AP6" i="9"/>
  <c r="AP7" i="9"/>
  <c r="AP8" i="9"/>
  <c r="AP9" i="9"/>
  <c r="AP10" i="9"/>
  <c r="AP11" i="9"/>
  <c r="AP12" i="9"/>
  <c r="AP13" i="9"/>
  <c r="AP14" i="9"/>
  <c r="AP15" i="9"/>
  <c r="AP16" i="9"/>
  <c r="AP17" i="9"/>
  <c r="AP18" i="9"/>
  <c r="AP19" i="9"/>
  <c r="AP20" i="9"/>
  <c r="AP21" i="9"/>
  <c r="AP22" i="9"/>
  <c r="AP23" i="9"/>
  <c r="AP24" i="9"/>
  <c r="AP25" i="9"/>
  <c r="AP26" i="9"/>
  <c r="AP27" i="9"/>
  <c r="AP28" i="9"/>
  <c r="AP29" i="9"/>
  <c r="AP30" i="9"/>
  <c r="AP31" i="9"/>
  <c r="AP32" i="9"/>
  <c r="AP33" i="9"/>
  <c r="AP3" i="9"/>
  <c r="CC40" i="9"/>
  <c r="CC41" i="9" s="1"/>
  <c r="W33" i="9"/>
  <c r="BS34" i="9" l="1"/>
  <c r="BT34" i="9"/>
  <c r="CW28" i="9"/>
  <c r="CW27" i="9"/>
  <c r="CW29" i="9"/>
  <c r="CW30" i="9"/>
  <c r="CW31" i="9"/>
  <c r="CW32" i="9"/>
  <c r="CW33" i="9"/>
  <c r="CW26" i="9" l="1"/>
  <c r="CW24" i="9"/>
  <c r="CW25" i="9"/>
  <c r="CW23" i="9" l="1"/>
  <c r="BI34" i="9"/>
  <c r="BJ34" i="9"/>
  <c r="BK34" i="9"/>
  <c r="BL4" i="9"/>
  <c r="CV4" i="9" s="1"/>
  <c r="BL5" i="9"/>
  <c r="CV5" i="9" s="1"/>
  <c r="BL6" i="9"/>
  <c r="CV6" i="9" s="1"/>
  <c r="BL7" i="9"/>
  <c r="CV7" i="9" s="1"/>
  <c r="BL8" i="9"/>
  <c r="CV8" i="9" s="1"/>
  <c r="BL9" i="9"/>
  <c r="CV9" i="9" s="1"/>
  <c r="BL10" i="9"/>
  <c r="CV10" i="9" s="1"/>
  <c r="BL11" i="9"/>
  <c r="CV11" i="9" s="1"/>
  <c r="BL12" i="9"/>
  <c r="CV12" i="9" s="1"/>
  <c r="BL13" i="9"/>
  <c r="CV13" i="9" s="1"/>
  <c r="BL14" i="9"/>
  <c r="CV14" i="9" s="1"/>
  <c r="BL15" i="9"/>
  <c r="CV15" i="9" s="1"/>
  <c r="CV16" i="9"/>
  <c r="CV17" i="9"/>
  <c r="CV18" i="9"/>
  <c r="BL19" i="9"/>
  <c r="CV19" i="9" s="1"/>
  <c r="BL20" i="9"/>
  <c r="CV20" i="9" s="1"/>
  <c r="BL21" i="9"/>
  <c r="CV21" i="9" s="1"/>
  <c r="BL22" i="9"/>
  <c r="CV22" i="9" s="1"/>
  <c r="BL23" i="9"/>
  <c r="CV23" i="9" s="1"/>
  <c r="BL24" i="9"/>
  <c r="CV24" i="9" s="1"/>
  <c r="BL25" i="9"/>
  <c r="CV25" i="9" s="1"/>
  <c r="BL26" i="9"/>
  <c r="CV26" i="9" s="1"/>
  <c r="BL27" i="9"/>
  <c r="CV27" i="9" s="1"/>
  <c r="BL28" i="9"/>
  <c r="CV28" i="9" s="1"/>
  <c r="BL29" i="9"/>
  <c r="CV29" i="9" s="1"/>
  <c r="CV30" i="9"/>
  <c r="BL31" i="9"/>
  <c r="CV31" i="9" s="1"/>
  <c r="CV32" i="9"/>
  <c r="BL33" i="9"/>
  <c r="CV33" i="9" s="1"/>
  <c r="BL34" i="9" l="1"/>
  <c r="CW22" i="9"/>
  <c r="CW4" i="9"/>
  <c r="CW5" i="9"/>
  <c r="CW6" i="9"/>
  <c r="CW7" i="9"/>
  <c r="CW8" i="9"/>
  <c r="CW9" i="9"/>
  <c r="CW10" i="9"/>
  <c r="CW11" i="9"/>
  <c r="CW12" i="9"/>
  <c r="CW13" i="9"/>
  <c r="CW14" i="9"/>
  <c r="CW15" i="9"/>
  <c r="CW16" i="9"/>
  <c r="CW17" i="9"/>
  <c r="CW18" i="9"/>
  <c r="CW20" i="9"/>
  <c r="CW21" i="9"/>
  <c r="CW19" i="9"/>
  <c r="V34" i="9" l="1"/>
  <c r="W20" i="9" l="1"/>
  <c r="W19" i="9" l="1"/>
  <c r="W4" i="9"/>
  <c r="W5" i="9"/>
  <c r="W6" i="9"/>
  <c r="W8" i="9"/>
  <c r="W9" i="9"/>
  <c r="W10" i="9"/>
  <c r="W11" i="9"/>
  <c r="W12" i="9"/>
  <c r="W13" i="9"/>
  <c r="W15" i="9"/>
  <c r="W16" i="9"/>
  <c r="W17" i="9"/>
  <c r="W3" i="9"/>
  <c r="CX19" i="9"/>
  <c r="CX20" i="9"/>
  <c r="CX21" i="9"/>
  <c r="CX22" i="9"/>
  <c r="CX23" i="9"/>
  <c r="CX24" i="9"/>
  <c r="CX25" i="9"/>
  <c r="CX26" i="9"/>
  <c r="CX27" i="9"/>
  <c r="CX28" i="9"/>
  <c r="CX29" i="9"/>
  <c r="CX30" i="9"/>
  <c r="CX31" i="9"/>
  <c r="CX32" i="9"/>
  <c r="CX33" i="9"/>
  <c r="CX16" i="9"/>
  <c r="CX17" i="9"/>
  <c r="CX18" i="9"/>
  <c r="CX15" i="9"/>
  <c r="S34" i="9"/>
  <c r="T34" i="9"/>
  <c r="T35" i="9" s="1"/>
  <c r="U34" i="9"/>
  <c r="BQ34" i="9" l="1"/>
  <c r="CF18" i="9" l="1"/>
  <c r="CF19" i="9"/>
  <c r="L5" i="11" l="1"/>
  <c r="M5" i="11"/>
  <c r="N5" i="11"/>
  <c r="O5" i="11"/>
  <c r="L6" i="11"/>
  <c r="M6" i="11"/>
  <c r="N6" i="11"/>
  <c r="O6" i="11"/>
  <c r="L7" i="11"/>
  <c r="M7" i="11"/>
  <c r="N7" i="11"/>
  <c r="O7" i="11"/>
  <c r="L8" i="11"/>
  <c r="M8" i="11"/>
  <c r="N8" i="11"/>
  <c r="O8" i="11"/>
  <c r="L9" i="11"/>
  <c r="M9" i="11"/>
  <c r="N9" i="11"/>
  <c r="O9" i="11"/>
  <c r="L10" i="11"/>
  <c r="M10" i="11"/>
  <c r="N10" i="11"/>
  <c r="O10" i="11"/>
  <c r="L11" i="11"/>
  <c r="M11" i="11"/>
  <c r="N11" i="11"/>
  <c r="O11" i="11"/>
  <c r="L12" i="11"/>
  <c r="M12" i="11"/>
  <c r="N12" i="11"/>
  <c r="O12" i="11"/>
  <c r="L13" i="11"/>
  <c r="M13" i="11"/>
  <c r="N13" i="11"/>
  <c r="O13" i="11"/>
  <c r="L14" i="11"/>
  <c r="M14" i="11"/>
  <c r="N14" i="11"/>
  <c r="O14" i="11"/>
  <c r="L15" i="11"/>
  <c r="M15" i="11"/>
  <c r="N15" i="11"/>
  <c r="O15" i="11"/>
  <c r="L16" i="11"/>
  <c r="M16" i="11"/>
  <c r="N16" i="11"/>
  <c r="O16" i="11"/>
  <c r="L17" i="11"/>
  <c r="M17" i="11"/>
  <c r="N17" i="11"/>
  <c r="O17" i="11"/>
  <c r="L18" i="11"/>
  <c r="M18" i="11"/>
  <c r="N18" i="11"/>
  <c r="O18" i="11"/>
  <c r="L19" i="11"/>
  <c r="M19" i="11"/>
  <c r="N19" i="11"/>
  <c r="O19" i="11"/>
  <c r="L20" i="11"/>
  <c r="M20" i="11"/>
  <c r="N20" i="11"/>
  <c r="O20" i="11"/>
  <c r="L21" i="11"/>
  <c r="M21" i="11"/>
  <c r="N21" i="11"/>
  <c r="O21" i="11"/>
  <c r="L22" i="11"/>
  <c r="M22" i="11"/>
  <c r="N22" i="11"/>
  <c r="O22" i="11"/>
  <c r="L23" i="11"/>
  <c r="M23" i="11"/>
  <c r="N23" i="11"/>
  <c r="O23" i="11"/>
  <c r="L24" i="11"/>
  <c r="M24" i="11"/>
  <c r="N24" i="11"/>
  <c r="O24" i="11"/>
  <c r="L25" i="11"/>
  <c r="M25" i="11"/>
  <c r="N25" i="11"/>
  <c r="O25" i="11"/>
  <c r="L26" i="11"/>
  <c r="M26" i="11"/>
  <c r="N26" i="11"/>
  <c r="O26" i="11"/>
  <c r="L27" i="11"/>
  <c r="M27" i="11"/>
  <c r="N27" i="11"/>
  <c r="O27" i="11"/>
  <c r="L28" i="11"/>
  <c r="M28" i="11"/>
  <c r="N28" i="11"/>
  <c r="O28" i="11"/>
  <c r="L29" i="11"/>
  <c r="M29" i="11"/>
  <c r="N29" i="11"/>
  <c r="O29" i="11"/>
  <c r="L30" i="11"/>
  <c r="M30" i="11"/>
  <c r="N30" i="11"/>
  <c r="O30" i="11"/>
  <c r="L31" i="11"/>
  <c r="M31" i="11"/>
  <c r="N31" i="11"/>
  <c r="O31" i="11"/>
  <c r="L32" i="11"/>
  <c r="M32" i="11"/>
  <c r="N32" i="11"/>
  <c r="O32" i="11"/>
  <c r="L33" i="11"/>
  <c r="M33" i="11"/>
  <c r="N33" i="11"/>
  <c r="O33" i="11"/>
  <c r="L34" i="11"/>
  <c r="M34" i="11"/>
  <c r="N34" i="11"/>
  <c r="O34" i="11"/>
  <c r="O4" i="11"/>
  <c r="N4" i="11"/>
  <c r="M4" i="11"/>
  <c r="L4" i="11"/>
  <c r="W18" i="9" l="1"/>
  <c r="W21" i="9"/>
  <c r="W22" i="9"/>
  <c r="W23" i="9"/>
  <c r="W24" i="9"/>
  <c r="W25" i="9"/>
  <c r="W26" i="9"/>
  <c r="W27" i="9"/>
  <c r="W28" i="9"/>
  <c r="W29" i="9"/>
  <c r="W30" i="9"/>
  <c r="W31" i="9"/>
  <c r="W32" i="9"/>
  <c r="CY31" i="9" l="1"/>
  <c r="CF30" i="9" l="1"/>
  <c r="AZ34" i="9" l="1"/>
  <c r="CF4" i="9" l="1"/>
  <c r="CG4" i="9"/>
  <c r="CF5" i="9"/>
  <c r="CG5" i="9"/>
  <c r="CF6" i="9"/>
  <c r="CG6" i="9"/>
  <c r="CF7" i="9"/>
  <c r="CG7" i="9"/>
  <c r="CF8" i="9"/>
  <c r="CG8" i="9"/>
  <c r="CF9" i="9"/>
  <c r="CG9" i="9"/>
  <c r="CF10" i="9"/>
  <c r="CG10" i="9"/>
  <c r="CF11" i="9"/>
  <c r="CG11" i="9"/>
  <c r="CF12" i="9"/>
  <c r="CG12" i="9"/>
  <c r="CF13" i="9"/>
  <c r="CG13" i="9"/>
  <c r="CF14" i="9"/>
  <c r="CG14" i="9"/>
  <c r="CF15" i="9"/>
  <c r="CG15" i="9"/>
  <c r="CF16" i="9"/>
  <c r="CG16" i="9"/>
  <c r="CG18" i="9"/>
  <c r="CK18" i="9" s="1"/>
  <c r="CG19" i="9"/>
  <c r="CK19" i="9" s="1"/>
  <c r="CF20" i="9"/>
  <c r="CG20" i="9"/>
  <c r="CF21" i="9"/>
  <c r="CG21" i="9"/>
  <c r="CF22" i="9"/>
  <c r="CG22" i="9"/>
  <c r="CF23" i="9"/>
  <c r="CG23" i="9"/>
  <c r="CF24" i="9"/>
  <c r="CG24" i="9"/>
  <c r="CF25" i="9"/>
  <c r="CG25" i="9"/>
  <c r="CF26" i="9"/>
  <c r="CG26" i="9"/>
  <c r="CF27" i="9"/>
  <c r="CG27" i="9"/>
  <c r="CF28" i="9"/>
  <c r="CG28" i="9"/>
  <c r="CF29" i="9"/>
  <c r="CG29" i="9"/>
  <c r="CG30" i="9"/>
  <c r="CK30" i="9" s="1"/>
  <c r="CF31" i="9"/>
  <c r="CG31" i="9"/>
  <c r="CF32" i="9"/>
  <c r="CG32" i="9"/>
  <c r="CF33" i="9"/>
  <c r="CG33" i="9"/>
  <c r="P4" i="11"/>
  <c r="CK33" i="9" l="1"/>
  <c r="CK29" i="9"/>
  <c r="CK25" i="9"/>
  <c r="CK15" i="9"/>
  <c r="CK11" i="9"/>
  <c r="CK7" i="9"/>
  <c r="CK28" i="9"/>
  <c r="CK24" i="9"/>
  <c r="CK32" i="9"/>
  <c r="CK14" i="9"/>
  <c r="CK10" i="9"/>
  <c r="CK6" i="9"/>
  <c r="CK27" i="9"/>
  <c r="CK23" i="9"/>
  <c r="CK31" i="9"/>
  <c r="CK13" i="9"/>
  <c r="CK9" i="9"/>
  <c r="CK5" i="9"/>
  <c r="CK26" i="9"/>
  <c r="CK16" i="9"/>
  <c r="CK12" i="9"/>
  <c r="CK17" i="9" s="1"/>
  <c r="CK8" i="9"/>
  <c r="CK4" i="9"/>
  <c r="CK22" i="9"/>
  <c r="CK21" i="9"/>
  <c r="CK20" i="9"/>
  <c r="CG3" i="9"/>
  <c r="CF3" i="9"/>
  <c r="B36" i="9"/>
  <c r="B37" i="9" s="1"/>
  <c r="C37" i="9"/>
  <c r="D37" i="9"/>
  <c r="E37" i="9"/>
  <c r="F37" i="9"/>
  <c r="CK3" i="9" l="1"/>
  <c r="AT34" i="9" l="1"/>
  <c r="AR34" i="9"/>
  <c r="AV34" i="9"/>
  <c r="AW34" i="9"/>
  <c r="AX34" i="9"/>
  <c r="AY34" i="9"/>
  <c r="AU34" i="9"/>
  <c r="BA34" i="9"/>
  <c r="X34" i="9" l="1"/>
  <c r="Y34" i="9"/>
  <c r="AA34" i="9"/>
  <c r="AB34" i="9"/>
  <c r="AC34" i="9"/>
  <c r="CY6" i="9" l="1"/>
  <c r="CE34" i="9" l="1"/>
  <c r="CH34" i="9"/>
  <c r="CI34" i="9"/>
  <c r="CJ34" i="9"/>
  <c r="CL34" i="9"/>
  <c r="F4" i="9" l="1"/>
  <c r="F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F33" i="9"/>
  <c r="F3" i="9"/>
  <c r="CB34" i="9" l="1"/>
  <c r="CC34" i="9"/>
  <c r="CG34" i="9"/>
  <c r="CF34" i="9"/>
  <c r="Q7" i="11"/>
  <c r="Q8" i="11"/>
  <c r="Q10" i="11"/>
  <c r="Q4" i="11"/>
  <c r="P7" i="11"/>
  <c r="P34" i="11"/>
  <c r="P12" i="11"/>
  <c r="P14" i="11"/>
  <c r="P22" i="11"/>
  <c r="Q22" i="11"/>
  <c r="Q23" i="11"/>
  <c r="Q33" i="11"/>
  <c r="Q34" i="11"/>
  <c r="CY7" i="9"/>
  <c r="CY8" i="9"/>
  <c r="CY9" i="9"/>
  <c r="CY10" i="9"/>
  <c r="CY11" i="9"/>
  <c r="CY12" i="9"/>
  <c r="CY13" i="9"/>
  <c r="CY14" i="9"/>
  <c r="CY15" i="9"/>
  <c r="CY16" i="9"/>
  <c r="CY17" i="9"/>
  <c r="CY18" i="9"/>
  <c r="CY19" i="9"/>
  <c r="CY20" i="9"/>
  <c r="CY21" i="9"/>
  <c r="CY22" i="9"/>
  <c r="CY23" i="9"/>
  <c r="CY24" i="9"/>
  <c r="CY25" i="9"/>
  <c r="CY26" i="9"/>
  <c r="CY27" i="9"/>
  <c r="CY28" i="9"/>
  <c r="CY29" i="9"/>
  <c r="CY30" i="9"/>
  <c r="CY32" i="9"/>
  <c r="CY33" i="9"/>
  <c r="CT4" i="9"/>
  <c r="CT5" i="9"/>
  <c r="CT6" i="9"/>
  <c r="CT7" i="9"/>
  <c r="CT8" i="9"/>
  <c r="CT9" i="9"/>
  <c r="CT10" i="9"/>
  <c r="CT11" i="9"/>
  <c r="CT12" i="9"/>
  <c r="CT13" i="9"/>
  <c r="CT14" i="9"/>
  <c r="CT15" i="9"/>
  <c r="CT16" i="9"/>
  <c r="CT17" i="9"/>
  <c r="CT18" i="9"/>
  <c r="CT19" i="9"/>
  <c r="CT20" i="9"/>
  <c r="CT21" i="9"/>
  <c r="CT22" i="9"/>
  <c r="CT23" i="9"/>
  <c r="CT24" i="9"/>
  <c r="CT25" i="9"/>
  <c r="CT26" i="9"/>
  <c r="CT27" i="9"/>
  <c r="CT28" i="9"/>
  <c r="CT29" i="9"/>
  <c r="CT30" i="9"/>
  <c r="CT31" i="9"/>
  <c r="CT32" i="9"/>
  <c r="CT33" i="9"/>
  <c r="CS4" i="9"/>
  <c r="CS5" i="9"/>
  <c r="CS6" i="9"/>
  <c r="CS7" i="9"/>
  <c r="CS8" i="9"/>
  <c r="CS9" i="9"/>
  <c r="CS10" i="9"/>
  <c r="CS11" i="9"/>
  <c r="CS12" i="9"/>
  <c r="CS13" i="9"/>
  <c r="CS14" i="9"/>
  <c r="CS15" i="9"/>
  <c r="CS16" i="9"/>
  <c r="CS17" i="9"/>
  <c r="CS18" i="9"/>
  <c r="CS19" i="9"/>
  <c r="CS20" i="9"/>
  <c r="CS21" i="9"/>
  <c r="CS22" i="9"/>
  <c r="CS23" i="9"/>
  <c r="CS24" i="9"/>
  <c r="CS25" i="9"/>
  <c r="CS26" i="9"/>
  <c r="CS27" i="9"/>
  <c r="CS28" i="9"/>
  <c r="CS29" i="9"/>
  <c r="CS30" i="9"/>
  <c r="CS31" i="9"/>
  <c r="CS32" i="9"/>
  <c r="CS33" i="9"/>
  <c r="CP18" i="9"/>
  <c r="CP29" i="9"/>
  <c r="P33" i="11" l="1"/>
  <c r="P32" i="11"/>
  <c r="Q32" i="11"/>
  <c r="Q31" i="11"/>
  <c r="P31" i="11"/>
  <c r="P30" i="11"/>
  <c r="Q30" i="11"/>
  <c r="Q29" i="11"/>
  <c r="P29" i="11"/>
  <c r="P28" i="11"/>
  <c r="Q28" i="11"/>
  <c r="Q27" i="11"/>
  <c r="P27" i="11"/>
  <c r="Q26" i="11"/>
  <c r="P26" i="11"/>
  <c r="Q25" i="11"/>
  <c r="P25" i="11"/>
  <c r="P23" i="11"/>
  <c r="Q24" i="11"/>
  <c r="P24" i="11"/>
  <c r="Q21" i="11"/>
  <c r="P21" i="11"/>
  <c r="Q20" i="11"/>
  <c r="P20" i="11"/>
  <c r="Q19" i="11"/>
  <c r="P19" i="11"/>
  <c r="P18" i="11"/>
  <c r="Q18" i="11"/>
  <c r="Q17" i="11"/>
  <c r="P17" i="11"/>
  <c r="P5" i="11"/>
  <c r="CT3" i="9"/>
  <c r="Q16" i="11"/>
  <c r="P16" i="11"/>
  <c r="Q15" i="11"/>
  <c r="P15" i="11"/>
  <c r="Q14" i="11"/>
  <c r="Q13" i="11"/>
  <c r="P13" i="11"/>
  <c r="Q12" i="11"/>
  <c r="Q11" i="11"/>
  <c r="P11" i="11"/>
  <c r="P10" i="11"/>
  <c r="P8" i="11"/>
  <c r="Q9" i="11"/>
  <c r="P9" i="11"/>
  <c r="CS3" i="9"/>
  <c r="Q5" i="11"/>
  <c r="Q6" i="11"/>
  <c r="P6" i="11"/>
  <c r="BM30" i="9"/>
  <c r="BN30" i="9"/>
  <c r="BO30" i="9"/>
  <c r="CZ3" i="9" l="1"/>
  <c r="DA3" i="9" s="1"/>
  <c r="Q35" i="11"/>
  <c r="BM27" i="9"/>
  <c r="CZ20" i="9"/>
  <c r="DA20" i="9" s="1"/>
  <c r="BP4" i="9" l="1"/>
  <c r="BP5" i="9"/>
  <c r="BP6" i="9"/>
  <c r="BP7" i="9"/>
  <c r="BP8" i="9"/>
  <c r="BP9" i="9"/>
  <c r="BP10" i="9"/>
  <c r="BP11" i="9"/>
  <c r="BP12" i="9"/>
  <c r="BP13" i="9"/>
  <c r="BP14" i="9"/>
  <c r="BP15" i="9"/>
  <c r="BP16" i="9"/>
  <c r="BP17" i="9"/>
  <c r="BP18" i="9"/>
  <c r="BP19" i="9"/>
  <c r="BP20" i="9"/>
  <c r="BP21" i="9"/>
  <c r="BP22" i="9"/>
  <c r="BP23" i="9"/>
  <c r="BP24" i="9"/>
  <c r="BP25" i="9"/>
  <c r="BP26" i="9"/>
  <c r="BP27" i="9"/>
  <c r="BP28" i="9"/>
  <c r="BP29" i="9"/>
  <c r="BP30" i="9"/>
  <c r="BP31" i="9"/>
  <c r="BP32" i="9"/>
  <c r="BP33" i="9"/>
  <c r="BP3" i="9"/>
  <c r="BM4" i="9"/>
  <c r="BN4" i="9"/>
  <c r="BO4" i="9"/>
  <c r="BM5" i="9"/>
  <c r="BN5" i="9"/>
  <c r="BO5" i="9"/>
  <c r="BM6" i="9"/>
  <c r="BN6" i="9"/>
  <c r="BO6" i="9"/>
  <c r="BM7" i="9"/>
  <c r="BN7" i="9"/>
  <c r="BO7" i="9"/>
  <c r="BM8" i="9"/>
  <c r="BN8" i="9"/>
  <c r="BO8" i="9"/>
  <c r="BM9" i="9"/>
  <c r="BN9" i="9"/>
  <c r="BO9" i="9"/>
  <c r="BM10" i="9"/>
  <c r="BN10" i="9"/>
  <c r="BO10" i="9"/>
  <c r="BM11" i="9"/>
  <c r="BN11" i="9"/>
  <c r="BO11" i="9"/>
  <c r="BM12" i="9"/>
  <c r="BN12" i="9"/>
  <c r="BO12" i="9"/>
  <c r="BM13" i="9"/>
  <c r="BN13" i="9"/>
  <c r="BO13" i="9"/>
  <c r="BM14" i="9"/>
  <c r="BN14" i="9"/>
  <c r="BO14" i="9"/>
  <c r="BM15" i="9"/>
  <c r="BN15" i="9"/>
  <c r="BO15" i="9"/>
  <c r="BM16" i="9"/>
  <c r="BN16" i="9"/>
  <c r="BO16" i="9"/>
  <c r="BM17" i="9"/>
  <c r="BN17" i="9"/>
  <c r="BO17" i="9"/>
  <c r="BM18" i="9"/>
  <c r="BN18" i="9"/>
  <c r="BO18" i="9"/>
  <c r="BM19" i="9"/>
  <c r="BN19" i="9"/>
  <c r="BO19" i="9"/>
  <c r="BM20" i="9"/>
  <c r="BN20" i="9"/>
  <c r="BO20" i="9"/>
  <c r="BM21" i="9"/>
  <c r="BN21" i="9"/>
  <c r="BO21" i="9"/>
  <c r="BM22" i="9"/>
  <c r="BN22" i="9"/>
  <c r="BO22" i="9"/>
  <c r="BM23" i="9"/>
  <c r="BN23" i="9"/>
  <c r="BO23" i="9"/>
  <c r="BM24" i="9"/>
  <c r="BN24" i="9"/>
  <c r="BO24" i="9"/>
  <c r="BM25" i="9"/>
  <c r="BN25" i="9"/>
  <c r="BO25" i="9"/>
  <c r="BM26" i="9"/>
  <c r="BN26" i="9"/>
  <c r="BO26" i="9"/>
  <c r="BN27" i="9"/>
  <c r="BO27" i="9"/>
  <c r="BM28" i="9"/>
  <c r="BN28" i="9"/>
  <c r="BO28" i="9"/>
  <c r="BM29" i="9"/>
  <c r="BN29" i="9"/>
  <c r="BO29" i="9"/>
  <c r="BM31" i="9"/>
  <c r="BN31" i="9"/>
  <c r="BO31" i="9"/>
  <c r="BM32" i="9"/>
  <c r="BN32" i="9"/>
  <c r="BO32" i="9"/>
  <c r="BM33" i="9"/>
  <c r="BN33" i="9"/>
  <c r="BO33" i="9"/>
  <c r="BO3" i="9"/>
  <c r="BN3" i="9"/>
  <c r="BM3" i="9"/>
  <c r="BP34" i="9" l="1"/>
  <c r="BN34" i="9"/>
  <c r="BO34" i="9"/>
  <c r="BM34" i="9"/>
  <c r="DB34" i="9"/>
  <c r="DF34" i="9"/>
  <c r="CZ18" i="9"/>
  <c r="DA18" i="9" s="1"/>
  <c r="CZ19" i="9"/>
  <c r="DA19" i="9" s="1"/>
  <c r="CZ21" i="9"/>
  <c r="DA21" i="9" s="1"/>
  <c r="CZ22" i="9"/>
  <c r="DA22" i="9" s="1"/>
  <c r="CZ23" i="9"/>
  <c r="DA23" i="9" s="1"/>
  <c r="CZ24" i="9"/>
  <c r="DA24" i="9" s="1"/>
  <c r="CZ25" i="9"/>
  <c r="DA25" i="9" s="1"/>
  <c r="CZ26" i="9"/>
  <c r="DA26" i="9" s="1"/>
  <c r="CZ27" i="9"/>
  <c r="DA27" i="9" s="1"/>
  <c r="CZ28" i="9"/>
  <c r="DA28" i="9" s="1"/>
  <c r="CZ29" i="9"/>
  <c r="DA29" i="9" s="1"/>
  <c r="CZ30" i="9"/>
  <c r="DA30" i="9" s="1"/>
  <c r="CZ31" i="9"/>
  <c r="DA31" i="9" s="1"/>
  <c r="CZ32" i="9"/>
  <c r="DA32" i="9" s="1"/>
  <c r="CZ33" i="9"/>
  <c r="DA33" i="9" s="1"/>
  <c r="CZ6" i="9"/>
  <c r="DA6" i="9" s="1"/>
  <c r="CZ7" i="9"/>
  <c r="DA7" i="9" s="1"/>
  <c r="CZ8" i="9"/>
  <c r="DA8" i="9" s="1"/>
  <c r="CZ9" i="9"/>
  <c r="DA9" i="9" s="1"/>
  <c r="CZ10" i="9"/>
  <c r="DA10" i="9" s="1"/>
  <c r="CZ11" i="9"/>
  <c r="DA11" i="9" s="1"/>
  <c r="CZ12" i="9"/>
  <c r="DA12" i="9" s="1"/>
  <c r="CZ13" i="9"/>
  <c r="DA13" i="9" s="1"/>
  <c r="CZ14" i="9"/>
  <c r="DA14" i="9" s="1"/>
  <c r="CZ15" i="9"/>
  <c r="DA15" i="9" s="1"/>
  <c r="CZ16" i="9"/>
  <c r="DA16" i="9" s="1"/>
  <c r="CZ17" i="9" l="1"/>
  <c r="DA17" i="9" s="1"/>
  <c r="DD4" i="9"/>
  <c r="DD32" i="9"/>
  <c r="DD30" i="9"/>
  <c r="DD28" i="9"/>
  <c r="DD26" i="9"/>
  <c r="DD24" i="9"/>
  <c r="DD22" i="9"/>
  <c r="DD8" i="9"/>
  <c r="DD10" i="9"/>
  <c r="DD7" i="9"/>
  <c r="DD5" i="9"/>
  <c r="DD29" i="9"/>
  <c r="DD27" i="9"/>
  <c r="DD25" i="9"/>
  <c r="DD23" i="9"/>
  <c r="DD21" i="9"/>
  <c r="DD19" i="9"/>
  <c r="DD11" i="9"/>
  <c r="DD33" i="9"/>
  <c r="DD6" i="9"/>
  <c r="DD9" i="9"/>
  <c r="DD31" i="9"/>
  <c r="DD20" i="9"/>
  <c r="DD15" i="9"/>
  <c r="DD12" i="9"/>
  <c r="DD18" i="9"/>
  <c r="DD17" i="9"/>
  <c r="DD16" i="9"/>
  <c r="DD14" i="9"/>
  <c r="DD13" i="9"/>
  <c r="DC16" i="9"/>
  <c r="AS34" i="9"/>
  <c r="CA34" i="9"/>
  <c r="AL34" i="9"/>
  <c r="AM34" i="9"/>
  <c r="AO34" i="9"/>
  <c r="AP34" i="9"/>
  <c r="AN34" i="9"/>
  <c r="DC17" i="9" l="1"/>
  <c r="DD3" i="9"/>
  <c r="DD34" i="9" s="1"/>
  <c r="DC9" i="9" l="1"/>
  <c r="DC18" i="9"/>
  <c r="DC31" i="9" l="1"/>
  <c r="DC27" i="9"/>
  <c r="DC19" i="9"/>
  <c r="DC13" i="9"/>
  <c r="DC23" i="9"/>
  <c r="DC26" i="9"/>
  <c r="DC15" i="9"/>
  <c r="DC21" i="9"/>
  <c r="DC6" i="9"/>
  <c r="DC10" i="9"/>
  <c r="DC7" i="9"/>
  <c r="DC29" i="9"/>
  <c r="DC32" i="9"/>
  <c r="DC8" i="9"/>
  <c r="DC30" i="9"/>
  <c r="DC11" i="9"/>
  <c r="DC25" i="9"/>
  <c r="DC28" i="9"/>
  <c r="DC24" i="9"/>
  <c r="DC20" i="9"/>
  <c r="DC22" i="9"/>
  <c r="DC14" i="9"/>
  <c r="DC12" i="9"/>
  <c r="C35" i="11" l="1"/>
  <c r="G42" i="11" s="1"/>
  <c r="D35" i="11"/>
  <c r="E35" i="11"/>
  <c r="H42" i="11" s="1"/>
  <c r="F35" i="11"/>
  <c r="G35" i="11"/>
  <c r="G41" i="11" s="1"/>
  <c r="H35" i="11"/>
  <c r="I35" i="11"/>
  <c r="H41" i="11" s="1"/>
  <c r="J35" i="11"/>
  <c r="K35" i="11"/>
  <c r="H40" i="11" s="1"/>
  <c r="G36" i="11" l="1"/>
  <c r="D41" i="11" s="1"/>
  <c r="M35" i="11"/>
  <c r="O35" i="11"/>
  <c r="N35" i="11"/>
  <c r="F44" i="11"/>
  <c r="F43" i="11"/>
  <c r="M36" i="11" l="1"/>
  <c r="F45" i="11"/>
  <c r="CO3" i="9" l="1"/>
  <c r="BA37" i="9" l="1"/>
  <c r="BB34" i="9" l="1"/>
  <c r="AY41" i="9"/>
  <c r="BB37" i="9" l="1"/>
  <c r="CP26" i="9" l="1"/>
  <c r="G37" i="9" l="1"/>
  <c r="G24" i="9"/>
  <c r="BC34" i="9" l="1"/>
  <c r="BD34" i="9"/>
  <c r="BE34" i="9"/>
  <c r="BU34" i="9"/>
  <c r="BV34" i="9"/>
  <c r="BW34" i="9"/>
  <c r="BG34" i="9" l="1"/>
  <c r="BF34" i="9"/>
  <c r="J36" i="11"/>
  <c r="F36" i="11" l="1"/>
  <c r="C36" i="11"/>
  <c r="D42" i="11" s="1"/>
  <c r="K36" i="11"/>
  <c r="D40" i="11" s="1"/>
  <c r="Q36" i="11" l="1"/>
  <c r="CP10" i="9"/>
  <c r="CP8" i="9"/>
  <c r="CP11" i="9"/>
  <c r="CP12" i="9"/>
  <c r="CP13" i="9"/>
  <c r="CP14" i="9"/>
  <c r="CP15" i="9"/>
  <c r="CP16" i="9"/>
  <c r="CP17" i="9"/>
  <c r="CP19" i="9"/>
  <c r="CP20" i="9"/>
  <c r="CP21" i="9"/>
  <c r="CP22" i="9"/>
  <c r="CP23" i="9"/>
  <c r="CP24" i="9"/>
  <c r="CP25" i="9"/>
  <c r="CP27" i="9"/>
  <c r="CP28" i="9"/>
  <c r="CP30" i="9"/>
  <c r="CP31" i="9"/>
  <c r="CP32" i="9"/>
  <c r="CP33" i="9"/>
  <c r="CP9" i="9"/>
  <c r="CP7" i="9"/>
  <c r="CP6" i="9"/>
  <c r="CW34" i="9" l="1"/>
  <c r="CV34" i="9"/>
  <c r="CC35" i="9"/>
  <c r="C34" i="9" l="1"/>
  <c r="D34" i="9"/>
  <c r="E34" i="9"/>
  <c r="B34" i="9"/>
  <c r="D43" i="11" l="1"/>
  <c r="G33" i="9" l="1"/>
  <c r="H33" i="9"/>
  <c r="I33" i="9"/>
  <c r="J33" i="9"/>
  <c r="CL37" i="9"/>
  <c r="K33" i="9" l="1"/>
  <c r="L33" i="9" s="1"/>
  <c r="N34" i="9" l="1"/>
  <c r="O34" i="9"/>
  <c r="P34" i="9"/>
  <c r="Q34" i="9"/>
  <c r="R34" i="9"/>
  <c r="AG34" i="9"/>
  <c r="AK34" i="9"/>
  <c r="AZ35" i="9"/>
  <c r="CC38" i="9"/>
  <c r="CR34" i="9"/>
  <c r="BA39" i="9" l="1"/>
  <c r="W34" i="9" l="1"/>
  <c r="B35" i="11" l="1"/>
  <c r="A5" i="11"/>
  <c r="A6" i="11" s="1"/>
  <c r="A7" i="11" s="1"/>
  <c r="B36" i="11" l="1"/>
  <c r="P36" i="11" s="1"/>
  <c r="L35" i="11"/>
  <c r="A8" i="11"/>
  <c r="A9" i="11" l="1"/>
  <c r="A10" i="11" l="1"/>
  <c r="A11" i="11" l="1"/>
  <c r="A12" i="11" l="1"/>
  <c r="A13" i="11" l="1"/>
  <c r="A14" i="11" l="1"/>
  <c r="A15" i="11" l="1"/>
  <c r="A16" i="11" l="1"/>
  <c r="A17" i="11" l="1"/>
  <c r="A18" i="11" l="1"/>
  <c r="A19" i="11" l="1"/>
  <c r="A20" i="11" l="1"/>
  <c r="A21" i="11" s="1"/>
  <c r="A22" i="11" l="1"/>
  <c r="A23" i="11" l="1"/>
  <c r="A24" i="11" l="1"/>
  <c r="A25" i="11" l="1"/>
  <c r="A26" i="11" l="1"/>
  <c r="A27" i="11" l="1"/>
  <c r="A28" i="11" l="1"/>
  <c r="A29" i="11" l="1"/>
  <c r="A30" i="11" l="1"/>
  <c r="CS34" i="9" l="1"/>
  <c r="CU34" i="9"/>
  <c r="CT34" i="9"/>
  <c r="A31" i="11"/>
  <c r="P35" i="11"/>
  <c r="A32" i="11" l="1"/>
  <c r="A33" i="11" l="1"/>
  <c r="J17" i="9"/>
  <c r="I17" i="9"/>
  <c r="H17" i="9"/>
  <c r="G17" i="9"/>
  <c r="K17" i="9" l="1"/>
  <c r="L17" i="9" s="1"/>
  <c r="J18" i="9" l="1"/>
  <c r="I18" i="9"/>
  <c r="H18" i="9"/>
  <c r="G18" i="9"/>
  <c r="K18" i="9" l="1"/>
  <c r="L18" i="9" s="1"/>
  <c r="CL38" i="9" l="1"/>
  <c r="AH34" i="9"/>
  <c r="AI36" i="9" s="1"/>
  <c r="CN34" i="9" l="1"/>
  <c r="F34" i="9" l="1"/>
  <c r="AK37" i="9"/>
  <c r="AL37" i="9"/>
  <c r="AM37" i="9"/>
  <c r="AZ38" i="9" l="1"/>
  <c r="G16" i="9" l="1"/>
  <c r="G19" i="9"/>
  <c r="G20" i="9"/>
  <c r="G21" i="9"/>
  <c r="G22" i="9"/>
  <c r="G23" i="9"/>
  <c r="G25" i="9"/>
  <c r="G26" i="9"/>
  <c r="G27" i="9"/>
  <c r="G28" i="9"/>
  <c r="G29" i="9"/>
  <c r="G30" i="9"/>
  <c r="G31" i="9"/>
  <c r="G32" i="9"/>
  <c r="G7" i="9"/>
  <c r="G8" i="9"/>
  <c r="G9" i="9"/>
  <c r="G10" i="9"/>
  <c r="G11" i="9"/>
  <c r="G12" i="9"/>
  <c r="G13" i="9"/>
  <c r="G14" i="9"/>
  <c r="G15" i="9"/>
  <c r="H31" i="9" l="1"/>
  <c r="I31" i="9"/>
  <c r="J31" i="9"/>
  <c r="H32" i="9"/>
  <c r="I32" i="9"/>
  <c r="J32" i="9"/>
  <c r="K31" i="9" l="1"/>
  <c r="L31" i="9" s="1"/>
  <c r="K32" i="9"/>
  <c r="L32" i="9" s="1"/>
  <c r="J30" i="9" l="1"/>
  <c r="I30" i="9"/>
  <c r="H30" i="9"/>
  <c r="J29" i="9"/>
  <c r="I29" i="9"/>
  <c r="H29" i="9"/>
  <c r="J28" i="9"/>
  <c r="I28" i="9"/>
  <c r="H28" i="9"/>
  <c r="J27" i="9"/>
  <c r="I27" i="9"/>
  <c r="H27" i="9"/>
  <c r="J26" i="9"/>
  <c r="I26" i="9"/>
  <c r="H26" i="9"/>
  <c r="J25" i="9"/>
  <c r="I25" i="9"/>
  <c r="H25" i="9"/>
  <c r="J24" i="9"/>
  <c r="I24" i="9"/>
  <c r="H24" i="9"/>
  <c r="J23" i="9"/>
  <c r="I23" i="9"/>
  <c r="H23" i="9"/>
  <c r="J22" i="9"/>
  <c r="I22" i="9"/>
  <c r="H22" i="9"/>
  <c r="J21" i="9"/>
  <c r="I21" i="9"/>
  <c r="H21" i="9"/>
  <c r="J20" i="9"/>
  <c r="I20" i="9"/>
  <c r="H20" i="9"/>
  <c r="J19" i="9"/>
  <c r="I19" i="9"/>
  <c r="H19" i="9"/>
  <c r="J16" i="9"/>
  <c r="I16" i="9"/>
  <c r="H16" i="9"/>
  <c r="J15" i="9"/>
  <c r="I15" i="9"/>
  <c r="H15" i="9"/>
  <c r="J14" i="9"/>
  <c r="I14" i="9"/>
  <c r="H14" i="9"/>
  <c r="J13" i="9"/>
  <c r="I13" i="9"/>
  <c r="H13" i="9"/>
  <c r="J12" i="9"/>
  <c r="I12" i="9"/>
  <c r="H12" i="9"/>
  <c r="J11" i="9"/>
  <c r="I11" i="9"/>
  <c r="H11" i="9"/>
  <c r="J10" i="9"/>
  <c r="I10" i="9"/>
  <c r="H10" i="9"/>
  <c r="J9" i="9"/>
  <c r="I9" i="9"/>
  <c r="H9" i="9"/>
  <c r="J8" i="9"/>
  <c r="I8" i="9"/>
  <c r="H8" i="9"/>
  <c r="J7" i="9"/>
  <c r="I7" i="9"/>
  <c r="H7" i="9"/>
  <c r="J6" i="9"/>
  <c r="I6" i="9"/>
  <c r="H6" i="9"/>
  <c r="G6" i="9"/>
  <c r="J5" i="9"/>
  <c r="I5" i="9"/>
  <c r="H5" i="9"/>
  <c r="G5" i="9"/>
  <c r="J4" i="9"/>
  <c r="I4" i="9"/>
  <c r="H4" i="9"/>
  <c r="G4" i="9"/>
  <c r="A4" i="9"/>
  <c r="A5" i="9" s="1"/>
  <c r="A6" i="9" s="1"/>
  <c r="A7" i="9" s="1"/>
  <c r="A8" i="9" s="1"/>
  <c r="A9" i="9" s="1"/>
  <c r="J3" i="9"/>
  <c r="I3" i="9"/>
  <c r="H3" i="9"/>
  <c r="G3" i="9"/>
  <c r="H34" i="9" l="1"/>
  <c r="G34" i="9"/>
  <c r="I34" i="9"/>
  <c r="J34" i="9"/>
  <c r="K9" i="9"/>
  <c r="L9" i="9" s="1"/>
  <c r="K21" i="9"/>
  <c r="L21" i="9" s="1"/>
  <c r="K29" i="9"/>
  <c r="K24" i="9"/>
  <c r="L24" i="9" s="1"/>
  <c r="K16" i="9"/>
  <c r="L16" i="9" s="1"/>
  <c r="K15" i="9"/>
  <c r="L15" i="9" s="1"/>
  <c r="A10" i="9"/>
  <c r="A11" i="9" s="1"/>
  <c r="K7" i="9"/>
  <c r="L7" i="9" s="1"/>
  <c r="K6" i="9"/>
  <c r="L6" i="9" s="1"/>
  <c r="K5" i="9"/>
  <c r="L5" i="9" s="1"/>
  <c r="K4" i="9"/>
  <c r="L4" i="9" s="1"/>
  <c r="K10" i="9"/>
  <c r="L10" i="9" s="1"/>
  <c r="K11" i="9"/>
  <c r="L11" i="9" s="1"/>
  <c r="K8" i="9"/>
  <c r="L8" i="9" s="1"/>
  <c r="K14" i="9"/>
  <c r="L14" i="9" s="1"/>
  <c r="K12" i="9"/>
  <c r="K13" i="9"/>
  <c r="L13" i="9" s="1"/>
  <c r="K19" i="9"/>
  <c r="L19" i="9" s="1"/>
  <c r="K30" i="9"/>
  <c r="L30" i="9" s="1"/>
  <c r="K28" i="9"/>
  <c r="L28" i="9" s="1"/>
  <c r="K27" i="9"/>
  <c r="L27" i="9" s="1"/>
  <c r="K26" i="9"/>
  <c r="L26" i="9" s="1"/>
  <c r="K25" i="9"/>
  <c r="L25" i="9" s="1"/>
  <c r="K23" i="9"/>
  <c r="L23" i="9" s="1"/>
  <c r="K22" i="9"/>
  <c r="L22" i="9" s="1"/>
  <c r="K20" i="9"/>
  <c r="L20" i="9" s="1"/>
  <c r="K3" i="9"/>
  <c r="L12" i="9" l="1"/>
  <c r="K34" i="9"/>
  <c r="K35" i="9" s="1"/>
  <c r="L3" i="9"/>
  <c r="L29" i="9"/>
  <c r="A12" i="9"/>
  <c r="A13" i="9" s="1"/>
  <c r="A14" i="9" s="1"/>
  <c r="A15" i="9" s="1"/>
  <c r="A16" i="9" s="1"/>
  <c r="AJ23" i="1"/>
  <c r="AJ22" i="1"/>
  <c r="AJ21" i="1"/>
  <c r="AK21" i="1" s="1"/>
  <c r="AI21" i="1"/>
  <c r="AJ20" i="1"/>
  <c r="AK20" i="1" s="1"/>
  <c r="AI20" i="1"/>
  <c r="AJ19" i="1"/>
  <c r="AK19" i="1" s="1"/>
  <c r="AI19" i="1"/>
  <c r="AJ18" i="1"/>
  <c r="AK18" i="1" s="1"/>
  <c r="AI18" i="1"/>
  <c r="AJ17" i="1"/>
  <c r="AK17" i="1" s="1"/>
  <c r="AI17" i="1"/>
  <c r="AJ16" i="1"/>
  <c r="AK16" i="1" s="1"/>
  <c r="AI16" i="1"/>
  <c r="AJ15" i="1"/>
  <c r="AK15" i="1" s="1"/>
  <c r="AI15" i="1"/>
  <c r="AJ14" i="1"/>
  <c r="AK14" i="1" s="1"/>
  <c r="AI14" i="1"/>
  <c r="AJ13" i="1"/>
  <c r="AK13" i="1" s="1"/>
  <c r="AI13" i="1"/>
  <c r="AJ12" i="1"/>
  <c r="AK12" i="1" s="1"/>
  <c r="AI12" i="1"/>
  <c r="AJ11" i="1"/>
  <c r="AK11" i="1" s="1"/>
  <c r="AI11" i="1"/>
  <c r="AJ10" i="1"/>
  <c r="AK10" i="1" s="1"/>
  <c r="AI10" i="1"/>
  <c r="AJ9" i="1"/>
  <c r="AK9" i="1" s="1"/>
  <c r="AI9" i="1"/>
  <c r="AJ8" i="1"/>
  <c r="AK8" i="1" s="1"/>
  <c r="AI8" i="1"/>
  <c r="AJ7" i="1"/>
  <c r="AK7" i="1" s="1"/>
  <c r="AI7" i="1"/>
  <c r="AJ6" i="1"/>
  <c r="AK6" i="1" s="1"/>
  <c r="AI6" i="1"/>
  <c r="AJ5" i="1"/>
  <c r="AK5" i="1" s="1"/>
  <c r="AI5" i="1"/>
  <c r="AJ4" i="1"/>
  <c r="AK4" i="1" s="1"/>
  <c r="AI4" i="1"/>
  <c r="AJ3" i="1"/>
  <c r="AK3" i="1" s="1"/>
  <c r="AI3" i="1"/>
  <c r="L34" i="9" l="1"/>
  <c r="A17" i="9"/>
  <c r="A18" i="9" s="1"/>
  <c r="A19" i="9" l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CP3" i="9" l="1"/>
  <c r="CQ3" i="9" s="1"/>
  <c r="DC3" i="9" l="1"/>
  <c r="CM4" i="9"/>
  <c r="CO4" i="9" l="1"/>
  <c r="AQ34" i="9" l="1"/>
  <c r="CY5" i="9"/>
  <c r="CY4" i="9"/>
  <c r="CZ4" i="9" l="1"/>
  <c r="DA4" i="9" s="1"/>
  <c r="CZ5" i="9"/>
  <c r="DC5" i="9" s="1"/>
  <c r="CP4" i="9"/>
  <c r="CP5" i="9"/>
  <c r="CD34" i="9"/>
  <c r="AZ37" i="9" s="1"/>
  <c r="CY34" i="9"/>
  <c r="CQ4" i="9" l="1"/>
  <c r="CM5" i="9" s="1"/>
  <c r="CO5" i="9" s="1"/>
  <c r="CQ5" i="9" s="1"/>
  <c r="DA5" i="9"/>
  <c r="DA34" i="9" s="1"/>
  <c r="CZ34" i="9"/>
  <c r="DC4" i="9"/>
  <c r="DC34" i="9" s="1"/>
  <c r="CP34" i="9"/>
  <c r="CK34" i="9"/>
  <c r="CC37" i="9" s="1"/>
  <c r="CC39" i="9" s="1"/>
  <c r="CM6" i="9" l="1"/>
  <c r="CO6" i="9" l="1"/>
  <c r="CQ6" i="9" s="1"/>
  <c r="CM7" i="9" l="1"/>
  <c r="CO7" i="9" l="1"/>
  <c r="CQ7" i="9" s="1"/>
  <c r="CM8" i="9" l="1"/>
  <c r="CO8" i="9" l="1"/>
  <c r="CQ8" i="9" s="1"/>
  <c r="CM9" i="9" l="1"/>
  <c r="CO9" i="9" l="1"/>
  <c r="CQ9" i="9" s="1"/>
  <c r="CM10" i="9" l="1"/>
  <c r="CO10" i="9" s="1"/>
  <c r="CQ10" i="9" l="1"/>
  <c r="CM11" i="9" s="1"/>
  <c r="CO11" i="9" s="1"/>
  <c r="CQ11" i="9" s="1"/>
  <c r="CM12" i="9" s="1"/>
  <c r="CO12" i="9" s="1"/>
  <c r="CQ12" i="9" l="1"/>
  <c r="CM13" i="9" s="1"/>
  <c r="CO13" i="9" s="1"/>
  <c r="CQ13" i="9" s="1"/>
  <c r="CM14" i="9" s="1"/>
  <c r="CO14" i="9" s="1"/>
  <c r="CQ14" i="9" l="1"/>
  <c r="CM15" i="9" s="1"/>
  <c r="CO15" i="9" s="1"/>
  <c r="CQ15" i="9" s="1"/>
  <c r="CM16" i="9" s="1"/>
  <c r="CO16" i="9" s="1"/>
  <c r="CQ16" i="9" s="1"/>
  <c r="CM17" i="9" l="1"/>
  <c r="CO17" i="9" l="1"/>
  <c r="CQ17" i="9" s="1"/>
  <c r="CM18" i="9" l="1"/>
  <c r="CO18" i="9" l="1"/>
  <c r="CQ18" i="9" s="1"/>
  <c r="CM19" i="9" l="1"/>
  <c r="CO19" i="9" l="1"/>
  <c r="CQ19" i="9" s="1"/>
  <c r="CM20" i="9" l="1"/>
  <c r="CO20" i="9" l="1"/>
  <c r="CQ20" i="9" s="1"/>
  <c r="CM21" i="9" l="1"/>
  <c r="CO21" i="9" l="1"/>
  <c r="CQ21" i="9" s="1"/>
  <c r="CM22" i="9" l="1"/>
  <c r="CO22" i="9" s="1"/>
  <c r="CQ22" i="9" s="1"/>
  <c r="CM23" i="9" l="1"/>
  <c r="CO23" i="9" s="1"/>
  <c r="CQ23" i="9" s="1"/>
  <c r="CM24" i="9" l="1"/>
  <c r="CO24" i="9" s="1"/>
  <c r="CQ24" i="9" l="1"/>
  <c r="CM25" i="9" s="1"/>
  <c r="CO25" i="9" s="1"/>
  <c r="CQ25" i="9" l="1"/>
  <c r="CM26" i="9" s="1"/>
  <c r="CO26" i="9" s="1"/>
  <c r="CQ26" i="9" s="1"/>
  <c r="CM27" i="9" s="1"/>
  <c r="CO27" i="9" s="1"/>
  <c r="CQ27" i="9" s="1"/>
  <c r="CM28" i="9" s="1"/>
  <c r="CO28" i="9" s="1"/>
  <c r="CQ28" i="9" s="1"/>
  <c r="CM29" i="9" l="1"/>
  <c r="CO29" i="9" s="1"/>
  <c r="CQ29" i="9" s="1"/>
  <c r="CM30" i="9" l="1"/>
  <c r="CO30" i="9" s="1"/>
  <c r="CQ30" i="9" s="1"/>
  <c r="CM31" i="9" l="1"/>
  <c r="CO31" i="9" s="1"/>
  <c r="CQ31" i="9" s="1"/>
  <c r="CM32" i="9" l="1"/>
  <c r="CO32" i="9" s="1"/>
  <c r="CQ32" i="9" s="1"/>
  <c r="CM33" i="9" l="1"/>
  <c r="CO33" i="9" l="1"/>
  <c r="CQ33" i="9" s="1"/>
  <c r="CM34" i="9"/>
  <c r="CO34" i="9" l="1"/>
  <c r="CQ34" i="9" l="1"/>
</calcChain>
</file>

<file path=xl/sharedStrings.xml><?xml version="1.0" encoding="utf-8"?>
<sst xmlns="http://schemas.openxmlformats.org/spreadsheetml/2006/main" count="219" uniqueCount="163">
  <si>
    <t>FOR THE MONTH OF MAY-2021</t>
  </si>
  <si>
    <t>SL.NO</t>
  </si>
  <si>
    <t>DRIVER NAME</t>
  </si>
  <si>
    <t>VEHICLE NO</t>
  </si>
  <si>
    <t>TOTAL TRIP</t>
  </si>
  <si>
    <t>NO. OF 25 TRIPS PER DAY</t>
  </si>
  <si>
    <t>25 TRIP=50 RUPEES</t>
  </si>
  <si>
    <t>SANJAY SINGH BISHT</t>
  </si>
  <si>
    <t>MUKHTIAR SINGH</t>
  </si>
  <si>
    <t>PARMJEET SINGH</t>
  </si>
  <si>
    <t>LAL MOHAN SINGH</t>
  </si>
  <si>
    <t>ANIL RAM</t>
  </si>
  <si>
    <t>SUNIL KUMAR SINGH</t>
  </si>
  <si>
    <t>DES RAJ</t>
  </si>
  <si>
    <t>BIDYADHAR ARUK</t>
  </si>
  <si>
    <t>BALVINDAR SINGH</t>
  </si>
  <si>
    <t>PRAKASH MAHANTA</t>
  </si>
  <si>
    <t>JAYDHAN DAS</t>
  </si>
  <si>
    <t>CHAMBURU MUNDARI</t>
  </si>
  <si>
    <t>SUNDAR MOHAN BESHRA</t>
  </si>
  <si>
    <t>RALEYA MUNDA</t>
  </si>
  <si>
    <t>AMAN GOPE</t>
  </si>
  <si>
    <t>RAJENDRA PURTY</t>
  </si>
  <si>
    <t>SUKHLAL SIRKA</t>
  </si>
  <si>
    <t>BAGAR SINGH SINKU</t>
  </si>
  <si>
    <t>DATE</t>
  </si>
  <si>
    <t>OB</t>
  </si>
  <si>
    <t>TOTAL</t>
  </si>
  <si>
    <t>ROM MT</t>
  </si>
  <si>
    <t>OB MT</t>
  </si>
  <si>
    <t>SUBGRADE MT</t>
  </si>
  <si>
    <t>TOTAL MT</t>
  </si>
  <si>
    <t>DRILL-650</t>
  </si>
  <si>
    <t>CRUSHER</t>
  </si>
  <si>
    <t>Excavator Total Rhs</t>
  </si>
  <si>
    <t>RHS</t>
  </si>
  <si>
    <t>HOLE</t>
  </si>
  <si>
    <t>METER</t>
  </si>
  <si>
    <t>DG-RHS</t>
  </si>
  <si>
    <t>Mining Issue</t>
  </si>
  <si>
    <t>Crusher Issue</t>
  </si>
  <si>
    <t>Drill issue</t>
  </si>
  <si>
    <t>Other Issue</t>
  </si>
  <si>
    <t>REHANDLING</t>
  </si>
  <si>
    <t>shifting</t>
  </si>
  <si>
    <t>TOTAL ISSUE</t>
  </si>
  <si>
    <t>Received HSD</t>
  </si>
  <si>
    <t>Total Issue</t>
  </si>
  <si>
    <t>RECD</t>
  </si>
  <si>
    <t>ISSUE</t>
  </si>
  <si>
    <t>CB</t>
  </si>
  <si>
    <t>Received</t>
  </si>
  <si>
    <t xml:space="preserve">Grand Total </t>
  </si>
  <si>
    <t>CLO</t>
  </si>
  <si>
    <t>FINES</t>
  </si>
  <si>
    <t>MT</t>
  </si>
  <si>
    <t>Product Rehandling</t>
  </si>
  <si>
    <t xml:space="preserve">OMC </t>
  </si>
  <si>
    <t>LOAN</t>
  </si>
  <si>
    <t>CLO TRIPS</t>
  </si>
  <si>
    <t>HSD RECEIVED DATA</t>
  </si>
  <si>
    <t>FEEDER RHS</t>
  </si>
  <si>
    <t>SHIFTING CON</t>
  </si>
  <si>
    <t>phc</t>
  </si>
  <si>
    <t>pmc</t>
  </si>
  <si>
    <t>FINES                TRIPS</t>
  </si>
  <si>
    <t>HSD CONSUMPTION</t>
  </si>
  <si>
    <t>MINING DATA</t>
  </si>
  <si>
    <t>SHIFTING MT</t>
  </si>
  <si>
    <t>MINING</t>
  </si>
  <si>
    <t>HSD COSUMPTION DATA</t>
  </si>
  <si>
    <t>CLO MT</t>
  </si>
  <si>
    <t>FINES MT</t>
  </si>
  <si>
    <t>TOTAL TRIPS</t>
  </si>
  <si>
    <t>NO OF TIPPER USE</t>
  </si>
  <si>
    <t>CRUSHER METARIAL SHIFTING MT</t>
  </si>
  <si>
    <t>NORMAL MTRS</t>
  </si>
  <si>
    <t>HARD MTRS</t>
  </si>
  <si>
    <t>HSD ISSUE DETAILS</t>
  </si>
  <si>
    <t xml:space="preserve">DRILL </t>
  </si>
  <si>
    <t>TOTAL CONSUMPTION</t>
  </si>
  <si>
    <t>Cu.M</t>
  </si>
  <si>
    <t>MINING RHS TIPPER</t>
  </si>
  <si>
    <t>ROM TRIPS</t>
  </si>
  <si>
    <t>Blue Dust TRIPS</t>
  </si>
  <si>
    <t xml:space="preserve"> OB TRIPS</t>
  </si>
  <si>
    <t>SUBGRADE TRIPS</t>
  </si>
  <si>
    <t>Blue Dust MT</t>
  </si>
  <si>
    <t>Excavator USE</t>
  </si>
  <si>
    <t>Tipper RHS</t>
  </si>
  <si>
    <t>REHANDLING RHS</t>
  </si>
  <si>
    <t>SHIFTING RHS</t>
  </si>
  <si>
    <t>JAW RHS</t>
  </si>
  <si>
    <t>CONE RHS</t>
  </si>
  <si>
    <t>LOKA TRACK CRUSHER</t>
  </si>
  <si>
    <t>POWER SCREEN</t>
  </si>
  <si>
    <t>LOKA TRACK</t>
  </si>
  <si>
    <t xml:space="preserve">LOKA TRACK </t>
  </si>
  <si>
    <t>NW CRUSHER</t>
  </si>
  <si>
    <t>JAW</t>
  </si>
  <si>
    <t>CON</t>
  </si>
  <si>
    <t>LOKO</t>
  </si>
  <si>
    <t>SCREEN</t>
  </si>
  <si>
    <t>TRIPS</t>
  </si>
  <si>
    <t>TARGET</t>
  </si>
  <si>
    <t xml:space="preserve">EVERY DAY </t>
  </si>
  <si>
    <t>BHP SCREEN FINESH SHIFTING MT</t>
  </si>
  <si>
    <t>POWER SCREEN TO FINES SHIFTING MT</t>
  </si>
  <si>
    <t>LOKO TRACK</t>
  </si>
  <si>
    <t>G.TOTAL DATE WISE</t>
  </si>
  <si>
    <t>TOTAL CRUSHERB,LOKO TRACK &amp; SCREEN SHIFTING METERIAL DETAILS</t>
  </si>
  <si>
    <t>fines</t>
  </si>
  <si>
    <t>Metso Production &amp; Shifting MT</t>
  </si>
  <si>
    <t>TOTAL CLO MT</t>
  </si>
  <si>
    <t>TOTAL FINES MT</t>
  </si>
  <si>
    <t>G.TOTAL MT</t>
  </si>
  <si>
    <t>BHQ</t>
  </si>
  <si>
    <t>CRUSHER CONS</t>
  </si>
  <si>
    <t>Excavator RHS</t>
  </si>
  <si>
    <t>Loader RHS</t>
  </si>
  <si>
    <t xml:space="preserve">MINING PRODUCTION DETAILS </t>
  </si>
  <si>
    <t>FEEDER HRS</t>
  </si>
  <si>
    <t>NW &amp; LOKO TRACK RHS</t>
  </si>
  <si>
    <t>NW &amp; LOKO TRACK MT</t>
  </si>
  <si>
    <t xml:space="preserve">SHIFTING DATA </t>
  </si>
  <si>
    <t>Loader Hrs</t>
  </si>
  <si>
    <t>Trips</t>
  </si>
  <si>
    <t>EQUP. CONSUMPTION</t>
  </si>
  <si>
    <t>DG HSD CONSUMPTION</t>
  </si>
  <si>
    <t>EQUIPMENT RHS</t>
  </si>
  <si>
    <t>EQUIP.HSD CONSUMTION</t>
  </si>
  <si>
    <t>USE EQUIP.</t>
  </si>
  <si>
    <t>USE TIPPER NO.</t>
  </si>
  <si>
    <t>UES NO.</t>
  </si>
  <si>
    <t xml:space="preserve">Monthly </t>
  </si>
  <si>
    <t>mines consu.</t>
  </si>
  <si>
    <t>DMCS EXCAVATOR RHS</t>
  </si>
  <si>
    <t>DMS TIPPER RHS</t>
  </si>
  <si>
    <t>DMCS CON</t>
  </si>
  <si>
    <t>DMCS ISSUE</t>
  </si>
  <si>
    <t>DMCS CONSUMPION</t>
  </si>
  <si>
    <t>TOTAL MINING CONSUMPTION(DMCS+DRILL+BSM)</t>
  </si>
  <si>
    <t>Trips DMCS</t>
  </si>
  <si>
    <t>TOTAL  CONSUMTION</t>
  </si>
  <si>
    <t xml:space="preserve">TOTAL CONSUMPTION </t>
  </si>
  <si>
    <t>TOTAL EQ.RHS</t>
  </si>
  <si>
    <t>TOTAL EQ.CONSUMPTION</t>
  </si>
  <si>
    <t>NW CRUSHER (METSO WORK ORDER)</t>
  </si>
  <si>
    <t xml:space="preserve">LOKO TRACK CRUSHER BSM </t>
  </si>
  <si>
    <t>USE Equipment</t>
  </si>
  <si>
    <t>DG / LT  HSD Consuption</t>
  </si>
  <si>
    <t>LT HSD CONSUMTION</t>
  </si>
  <si>
    <t>SCREEN HSD CONSUMTION</t>
  </si>
  <si>
    <t>TANKER BALANCE</t>
  </si>
  <si>
    <t>FOR THE MONTH OF APRIL-2026(SHIFTING DATA)</t>
  </si>
  <si>
    <t>65+clo</t>
  </si>
  <si>
    <t>62-65% clo</t>
  </si>
  <si>
    <t>60-62 % fines</t>
  </si>
  <si>
    <t>62-65% fines</t>
  </si>
  <si>
    <t xml:space="preserve">EQUIPMENT CONSUPTION </t>
  </si>
  <si>
    <t>Marc-26  Crusher Stock_QTY.(MT)</t>
  </si>
  <si>
    <t>OB TRIPS</t>
  </si>
  <si>
    <t xml:space="preserve">TOTAL TRIPS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</si>
</sst>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7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6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FF99"/>
        <bgColor indexed="64"/>
      </patternFill>
    </fill>
    <fill>
      <patternFill patternType="solid">
        <fgColor theme="9" tint="0.79998168889431442"/>
        <bgColor indexed="64"/>
      </patternFill>
    </fill>
  </fills>
  <borders count="5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2">
    <xf numFmtId="0" fontId="0" fillId="0" borderId="0" xfId="0"/>
    <xf numFmtId="0" fontId="13" fillId="0" borderId="0" xfId="0" applyFont="1"/>
    <xf numFmtId="0" fontId="0" fillId="0" borderId="1" xfId="0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" fontId="16" fillId="0" borderId="0" xfId="0" applyNumberFormat="1" applyFont="1" applyAlignment="1">
      <alignment horizontal="center"/>
    </xf>
    <xf numFmtId="0" fontId="12" fillId="0" borderId="5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/>
    </xf>
    <xf numFmtId="164" fontId="16" fillId="0" borderId="1" xfId="0" applyNumberFormat="1" applyFont="1" applyBorder="1" applyAlignment="1">
      <alignment horizontal="center" vertical="center"/>
    </xf>
    <xf numFmtId="0" fontId="16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64" fontId="16" fillId="0" borderId="0" xfId="0" applyNumberFormat="1" applyFont="1" applyAlignment="1">
      <alignment horizontal="center"/>
    </xf>
    <xf numFmtId="2" fontId="16" fillId="2" borderId="1" xfId="0" applyNumberFormat="1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2" fontId="16" fillId="0" borderId="0" xfId="0" applyNumberFormat="1" applyFont="1" applyAlignment="1">
      <alignment horizontal="center" vertical="center"/>
    </xf>
    <xf numFmtId="1" fontId="16" fillId="0" borderId="0" xfId="0" applyNumberFormat="1" applyFont="1" applyAlignment="1">
      <alignment horizontal="center" vertical="center"/>
    </xf>
    <xf numFmtId="0" fontId="20" fillId="0" borderId="0" xfId="0" applyFont="1"/>
    <xf numFmtId="2" fontId="16" fillId="0" borderId="1" xfId="0" applyNumberFormat="1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center" vertical="center"/>
    </xf>
    <xf numFmtId="164" fontId="16" fillId="5" borderId="1" xfId="0" applyNumberFormat="1" applyFont="1" applyFill="1" applyBorder="1" applyAlignment="1">
      <alignment horizontal="center"/>
    </xf>
    <xf numFmtId="2" fontId="16" fillId="5" borderId="1" xfId="0" applyNumberFormat="1" applyFont="1" applyFill="1" applyBorder="1" applyAlignment="1">
      <alignment horizontal="center"/>
    </xf>
    <xf numFmtId="0" fontId="16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center"/>
    </xf>
    <xf numFmtId="14" fontId="10" fillId="0" borderId="1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vertical="center"/>
    </xf>
    <xf numFmtId="0" fontId="16" fillId="0" borderId="5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5" borderId="4" xfId="0" applyFont="1" applyFill="1" applyBorder="1" applyAlignment="1">
      <alignment horizontal="center"/>
    </xf>
    <xf numFmtId="1" fontId="16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0" fontId="0" fillId="0" borderId="1" xfId="0" applyBorder="1"/>
    <xf numFmtId="14" fontId="10" fillId="0" borderId="4" xfId="0" applyNumberFormat="1" applyFont="1" applyBorder="1" applyAlignment="1">
      <alignment horizontal="center" vertical="center"/>
    </xf>
    <xf numFmtId="14" fontId="9" fillId="0" borderId="1" xfId="0" applyNumberFormat="1" applyFont="1" applyBorder="1" applyAlignment="1">
      <alignment horizontal="center" vertical="center"/>
    </xf>
    <xf numFmtId="0" fontId="9" fillId="0" borderId="0" xfId="0" applyFont="1"/>
    <xf numFmtId="14" fontId="21" fillId="0" borderId="0" xfId="0" applyNumberFormat="1" applyFont="1"/>
    <xf numFmtId="0" fontId="16" fillId="5" borderId="11" xfId="0" applyFont="1" applyFill="1" applyBorder="1" applyAlignment="1">
      <alignment horizontal="center"/>
    </xf>
    <xf numFmtId="164" fontId="16" fillId="5" borderId="5" xfId="0" applyNumberFormat="1" applyFont="1" applyFill="1" applyBorder="1" applyAlignment="1">
      <alignment horizontal="center"/>
    </xf>
    <xf numFmtId="0" fontId="16" fillId="8" borderId="1" xfId="0" applyFont="1" applyFill="1" applyBorder="1" applyAlignment="1">
      <alignment horizontal="center"/>
    </xf>
    <xf numFmtId="1" fontId="16" fillId="8" borderId="1" xfId="0" applyNumberFormat="1" applyFont="1" applyFill="1" applyBorder="1" applyAlignment="1">
      <alignment horizontal="center"/>
    </xf>
    <xf numFmtId="0" fontId="0" fillId="8" borderId="0" xfId="0" applyFill="1"/>
    <xf numFmtId="2" fontId="12" fillId="0" borderId="0" xfId="0" applyNumberFormat="1" applyFont="1" applyAlignment="1">
      <alignment horizontal="center"/>
    </xf>
    <xf numFmtId="0" fontId="13" fillId="4" borderId="0" xfId="0" applyFont="1" applyFill="1"/>
    <xf numFmtId="2" fontId="16" fillId="2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8" fillId="0" borderId="0" xfId="0" applyFont="1"/>
    <xf numFmtId="1" fontId="16" fillId="0" borderId="1" xfId="0" applyNumberFormat="1" applyFont="1" applyBorder="1" applyAlignment="1">
      <alignment horizontal="center"/>
    </xf>
    <xf numFmtId="0" fontId="16" fillId="5" borderId="0" xfId="0" applyFont="1" applyFill="1" applyAlignment="1">
      <alignment horizontal="center"/>
    </xf>
    <xf numFmtId="2" fontId="16" fillId="5" borderId="0" xfId="0" applyNumberFormat="1" applyFont="1" applyFill="1" applyAlignment="1">
      <alignment horizontal="center"/>
    </xf>
    <xf numFmtId="0" fontId="21" fillId="0" borderId="8" xfId="0" applyFont="1" applyBorder="1" applyAlignment="1">
      <alignment horizontal="center" vertical="center"/>
    </xf>
    <xf numFmtId="0" fontId="24" fillId="0" borderId="0" xfId="0" applyFont="1"/>
    <xf numFmtId="0" fontId="21" fillId="2" borderId="1" xfId="0" applyFont="1" applyFill="1" applyBorder="1" applyAlignment="1">
      <alignment horizontal="center" vertical="center"/>
    </xf>
    <xf numFmtId="2" fontId="21" fillId="0" borderId="8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horizontal="center" vertical="center"/>
    </xf>
    <xf numFmtId="0" fontId="16" fillId="0" borderId="12" xfId="0" applyFont="1" applyBorder="1" applyAlignment="1">
      <alignment horizontal="center" vertical="center"/>
    </xf>
    <xf numFmtId="1" fontId="16" fillId="7" borderId="0" xfId="0" applyNumberFormat="1" applyFont="1" applyFill="1" applyAlignment="1">
      <alignment horizontal="center" vertical="center"/>
    </xf>
    <xf numFmtId="0" fontId="12" fillId="7" borderId="0" xfId="0" applyFont="1" applyFill="1" applyAlignment="1">
      <alignment horizontal="center"/>
    </xf>
    <xf numFmtId="0" fontId="13" fillId="7" borderId="0" xfId="0" applyFont="1" applyFill="1"/>
    <xf numFmtId="1" fontId="16" fillId="12" borderId="0" xfId="0" applyNumberFormat="1" applyFont="1" applyFill="1" applyAlignment="1">
      <alignment horizontal="center" vertical="center"/>
    </xf>
    <xf numFmtId="0" fontId="12" fillId="12" borderId="0" xfId="0" applyFont="1" applyFill="1" applyAlignment="1">
      <alignment horizontal="center"/>
    </xf>
    <xf numFmtId="0" fontId="13" fillId="12" borderId="0" xfId="0" applyFont="1" applyFill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164" fontId="16" fillId="11" borderId="12" xfId="0" applyNumberFormat="1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22" fillId="2" borderId="0" xfId="0" applyFont="1" applyFill="1"/>
    <xf numFmtId="0" fontId="21" fillId="11" borderId="1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/>
    </xf>
    <xf numFmtId="0" fontId="25" fillId="0" borderId="0" xfId="0" applyFont="1" applyAlignment="1">
      <alignment horizontal="center"/>
    </xf>
    <xf numFmtId="14" fontId="16" fillId="3" borderId="26" xfId="0" applyNumberFormat="1" applyFont="1" applyFill="1" applyBorder="1" applyAlignment="1">
      <alignment horizontal="center" vertical="center"/>
    </xf>
    <xf numFmtId="0" fontId="16" fillId="3" borderId="24" xfId="0" applyFont="1" applyFill="1" applyBorder="1" applyAlignment="1">
      <alignment horizontal="center" vertical="center"/>
    </xf>
    <xf numFmtId="14" fontId="16" fillId="9" borderId="1" xfId="0" applyNumberFormat="1" applyFont="1" applyFill="1" applyBorder="1" applyAlignment="1">
      <alignment horizontal="center"/>
    </xf>
    <xf numFmtId="0" fontId="16" fillId="9" borderId="1" xfId="0" applyFont="1" applyFill="1" applyBorder="1" applyAlignment="1">
      <alignment horizontal="center"/>
    </xf>
    <xf numFmtId="14" fontId="21" fillId="9" borderId="1" xfId="0" applyNumberFormat="1" applyFont="1" applyFill="1" applyBorder="1" applyAlignment="1">
      <alignment horizontal="center"/>
    </xf>
    <xf numFmtId="1" fontId="21" fillId="9" borderId="1" xfId="0" applyNumberFormat="1" applyFont="1" applyFill="1" applyBorder="1" applyAlignment="1">
      <alignment horizontal="center"/>
    </xf>
    <xf numFmtId="0" fontId="21" fillId="9" borderId="1" xfId="0" applyFont="1" applyFill="1" applyBorder="1" applyAlignment="1">
      <alignment horizontal="center"/>
    </xf>
    <xf numFmtId="0" fontId="24" fillId="0" borderId="0" xfId="0" applyFont="1" applyAlignment="1">
      <alignment vertical="center"/>
    </xf>
    <xf numFmtId="164" fontId="16" fillId="10" borderId="1" xfId="0" applyNumberFormat="1" applyFont="1" applyFill="1" applyBorder="1" applyAlignment="1">
      <alignment horizontal="center" vertical="center"/>
    </xf>
    <xf numFmtId="164" fontId="16" fillId="10" borderId="4" xfId="0" applyNumberFormat="1" applyFont="1" applyFill="1" applyBorder="1" applyAlignment="1">
      <alignment horizontal="center" vertical="center"/>
    </xf>
    <xf numFmtId="164" fontId="16" fillId="10" borderId="13" xfId="0" applyNumberFormat="1" applyFont="1" applyFill="1" applyBorder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6" fillId="8" borderId="12" xfId="0" applyFont="1" applyFill="1" applyBorder="1" applyAlignment="1">
      <alignment horizontal="center" vertical="center"/>
    </xf>
    <xf numFmtId="1" fontId="16" fillId="12" borderId="7" xfId="0" applyNumberFormat="1" applyFont="1" applyFill="1" applyBorder="1" applyAlignment="1">
      <alignment horizontal="center"/>
    </xf>
    <xf numFmtId="0" fontId="16" fillId="12" borderId="12" xfId="0" applyFont="1" applyFill="1" applyBorder="1" applyAlignment="1">
      <alignment horizontal="center" vertical="center"/>
    </xf>
    <xf numFmtId="0" fontId="0" fillId="12" borderId="0" xfId="0" applyFill="1"/>
    <xf numFmtId="2" fontId="21" fillId="2" borderId="1" xfId="0" applyNumberFormat="1" applyFont="1" applyFill="1" applyBorder="1" applyAlignment="1">
      <alignment horizontal="center" vertical="center"/>
    </xf>
    <xf numFmtId="164" fontId="21" fillId="2" borderId="1" xfId="0" applyNumberFormat="1" applyFont="1" applyFill="1" applyBorder="1" applyAlignment="1">
      <alignment horizontal="center" vertical="center"/>
    </xf>
    <xf numFmtId="0" fontId="16" fillId="2" borderId="3" xfId="0" applyFont="1" applyFill="1" applyBorder="1" applyAlignment="1">
      <alignment horizontal="center" vertical="center"/>
    </xf>
    <xf numFmtId="0" fontId="21" fillId="2" borderId="3" xfId="0" applyFont="1" applyFill="1" applyBorder="1" applyAlignment="1">
      <alignment horizontal="center" vertical="center"/>
    </xf>
    <xf numFmtId="2" fontId="21" fillId="2" borderId="3" xfId="0" applyNumberFormat="1" applyFont="1" applyFill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21" fillId="2" borderId="4" xfId="0" applyFont="1" applyFill="1" applyBorder="1" applyAlignment="1">
      <alignment horizontal="center" vertical="center"/>
    </xf>
    <xf numFmtId="2" fontId="21" fillId="2" borderId="4" xfId="0" applyNumberFormat="1" applyFont="1" applyFill="1" applyBorder="1" applyAlignment="1">
      <alignment horizontal="center" vertical="center"/>
    </xf>
    <xf numFmtId="0" fontId="16" fillId="2" borderId="13" xfId="0" applyFont="1" applyFill="1" applyBorder="1" applyAlignment="1">
      <alignment horizontal="center" vertical="center"/>
    </xf>
    <xf numFmtId="0" fontId="16" fillId="2" borderId="12" xfId="0" applyFont="1" applyFill="1" applyBorder="1" applyAlignment="1">
      <alignment horizontal="center" vertical="center"/>
    </xf>
    <xf numFmtId="0" fontId="0" fillId="9" borderId="0" xfId="0" applyFill="1"/>
    <xf numFmtId="0" fontId="21" fillId="11" borderId="18" xfId="0" applyFont="1" applyFill="1" applyBorder="1" applyAlignment="1">
      <alignment horizontal="center" vertical="center" wrapText="1"/>
    </xf>
    <xf numFmtId="0" fontId="21" fillId="13" borderId="17" xfId="0" applyFont="1" applyFill="1" applyBorder="1" applyAlignment="1">
      <alignment horizontal="center" vertical="center" wrapText="1"/>
    </xf>
    <xf numFmtId="0" fontId="26" fillId="2" borderId="0" xfId="0" applyFont="1" applyFill="1"/>
    <xf numFmtId="0" fontId="23" fillId="11" borderId="1" xfId="0" applyFont="1" applyFill="1" applyBorder="1" applyAlignment="1">
      <alignment horizontal="center" vertical="center" wrapText="1"/>
    </xf>
    <xf numFmtId="0" fontId="23" fillId="11" borderId="18" xfId="0" applyFont="1" applyFill="1" applyBorder="1" applyAlignment="1">
      <alignment horizontal="center" vertical="center" wrapText="1"/>
    </xf>
    <xf numFmtId="0" fontId="23" fillId="13" borderId="17" xfId="0" applyFont="1" applyFill="1" applyBorder="1" applyAlignment="1">
      <alignment horizontal="center" vertical="center" wrapText="1"/>
    </xf>
    <xf numFmtId="2" fontId="23" fillId="11" borderId="1" xfId="0" applyNumberFormat="1" applyFont="1" applyFill="1" applyBorder="1" applyAlignment="1">
      <alignment horizontal="center" vertical="center"/>
    </xf>
    <xf numFmtId="2" fontId="23" fillId="11" borderId="18" xfId="0" applyNumberFormat="1" applyFont="1" applyFill="1" applyBorder="1" applyAlignment="1">
      <alignment horizontal="center" vertical="center"/>
    </xf>
    <xf numFmtId="2" fontId="23" fillId="13" borderId="17" xfId="0" applyNumberFormat="1" applyFont="1" applyFill="1" applyBorder="1" applyAlignment="1">
      <alignment horizontal="center" vertical="center"/>
    </xf>
    <xf numFmtId="0" fontId="23" fillId="11" borderId="1" xfId="0" applyFont="1" applyFill="1" applyBorder="1" applyAlignment="1">
      <alignment horizontal="center" vertical="center"/>
    </xf>
    <xf numFmtId="0" fontId="23" fillId="11" borderId="18" xfId="0" applyFont="1" applyFill="1" applyBorder="1" applyAlignment="1">
      <alignment horizontal="center" vertical="center"/>
    </xf>
    <xf numFmtId="0" fontId="23" fillId="13" borderId="1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1" fontId="16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center"/>
    </xf>
    <xf numFmtId="0" fontId="13" fillId="5" borderId="0" xfId="0" applyFont="1" applyFill="1"/>
    <xf numFmtId="1" fontId="12" fillId="0" borderId="0" xfId="0" applyNumberFormat="1" applyFont="1" applyAlignment="1">
      <alignment horizontal="center"/>
    </xf>
    <xf numFmtId="0" fontId="14" fillId="2" borderId="27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164" fontId="16" fillId="11" borderId="1" xfId="0" applyNumberFormat="1" applyFont="1" applyFill="1" applyBorder="1" applyAlignment="1">
      <alignment horizontal="center" vertical="center"/>
    </xf>
    <xf numFmtId="164" fontId="16" fillId="11" borderId="3" xfId="0" applyNumberFormat="1" applyFont="1" applyFill="1" applyBorder="1" applyAlignment="1">
      <alignment horizontal="center" vertical="center"/>
    </xf>
    <xf numFmtId="164" fontId="16" fillId="11" borderId="4" xfId="0" applyNumberFormat="1" applyFont="1" applyFill="1" applyBorder="1" applyAlignment="1">
      <alignment horizontal="center" vertical="center"/>
    </xf>
    <xf numFmtId="164" fontId="16" fillId="11" borderId="13" xfId="0" applyNumberFormat="1" applyFont="1" applyFill="1" applyBorder="1" applyAlignment="1">
      <alignment horizontal="center" vertical="center"/>
    </xf>
    <xf numFmtId="1" fontId="21" fillId="0" borderId="0" xfId="0" applyNumberFormat="1" applyFont="1"/>
    <xf numFmtId="1" fontId="17" fillId="0" borderId="0" xfId="0" applyNumberFormat="1" applyFont="1"/>
    <xf numFmtId="2" fontId="21" fillId="0" borderId="0" xfId="0" applyNumberFormat="1" applyFont="1"/>
    <xf numFmtId="0" fontId="19" fillId="0" borderId="0" xfId="0" applyFont="1" applyAlignment="1">
      <alignment horizontal="center"/>
    </xf>
    <xf numFmtId="2" fontId="13" fillId="0" borderId="0" xfId="0" applyNumberFormat="1" applyFont="1" applyAlignment="1">
      <alignment horizontal="center"/>
    </xf>
    <xf numFmtId="2" fontId="16" fillId="0" borderId="1" xfId="0" applyNumberFormat="1" applyFont="1" applyBorder="1" applyAlignment="1">
      <alignment horizontal="center"/>
    </xf>
    <xf numFmtId="1" fontId="16" fillId="0" borderId="0" xfId="0" applyNumberFormat="1" applyFont="1" applyAlignment="1">
      <alignment horizontal="center"/>
    </xf>
    <xf numFmtId="1" fontId="13" fillId="0" borderId="0" xfId="0" applyNumberFormat="1" applyFont="1"/>
    <xf numFmtId="2" fontId="13" fillId="0" borderId="0" xfId="0" applyNumberFormat="1" applyFont="1"/>
    <xf numFmtId="0" fontId="16" fillId="0" borderId="1" xfId="0" applyFont="1" applyBorder="1" applyAlignment="1">
      <alignment horizontal="centerContinuous" vertical="center"/>
    </xf>
    <xf numFmtId="15" fontId="0" fillId="0" borderId="0" xfId="0" applyNumberFormat="1"/>
    <xf numFmtId="2" fontId="23" fillId="0" borderId="0" xfId="0" applyNumberFormat="1" applyFont="1"/>
    <xf numFmtId="14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0" xfId="0" applyNumberFormat="1" applyFont="1" applyAlignment="1">
      <alignment horizontal="center" vertical="center"/>
    </xf>
    <xf numFmtId="2" fontId="26" fillId="0" borderId="0" xfId="0" applyNumberFormat="1" applyFont="1" applyAlignment="1">
      <alignment horizontal="center"/>
    </xf>
    <xf numFmtId="2" fontId="14" fillId="0" borderId="0" xfId="0" applyNumberFormat="1" applyFont="1" applyAlignment="1">
      <alignment horizontal="center"/>
    </xf>
    <xf numFmtId="0" fontId="16" fillId="0" borderId="3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4" xfId="0" applyFont="1" applyBorder="1" applyAlignment="1">
      <alignment horizontal="center"/>
    </xf>
    <xf numFmtId="15" fontId="16" fillId="0" borderId="4" xfId="0" applyNumberFormat="1" applyFont="1" applyBorder="1" applyAlignment="1">
      <alignment horizontal="center"/>
    </xf>
    <xf numFmtId="2" fontId="16" fillId="0" borderId="8" xfId="0" applyNumberFormat="1" applyFont="1" applyBorder="1" applyAlignment="1">
      <alignment horizontal="center" vertical="center"/>
    </xf>
    <xf numFmtId="0" fontId="23" fillId="0" borderId="19" xfId="0" applyFont="1" applyBorder="1" applyAlignment="1">
      <alignment horizontal="centerContinuous" vertical="center" wrapText="1"/>
    </xf>
    <xf numFmtId="0" fontId="23" fillId="0" borderId="19" xfId="0" applyFont="1" applyBorder="1" applyAlignment="1">
      <alignment horizontal="centerContinuous" vertical="center"/>
    </xf>
    <xf numFmtId="0" fontId="24" fillId="0" borderId="16" xfId="0" applyFont="1" applyBorder="1" applyAlignment="1">
      <alignment horizontal="centerContinuous" vertical="center" wrapText="1"/>
    </xf>
    <xf numFmtId="0" fontId="16" fillId="0" borderId="17" xfId="0" applyFont="1" applyBorder="1" applyAlignment="1">
      <alignment horizontal="centerContinuous" vertical="center"/>
    </xf>
    <xf numFmtId="0" fontId="16" fillId="0" borderId="18" xfId="0" applyFont="1" applyBorder="1" applyAlignment="1">
      <alignment horizontal="center"/>
    </xf>
    <xf numFmtId="2" fontId="16" fillId="0" borderId="22" xfId="0" applyNumberFormat="1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23" fillId="0" borderId="15" xfId="0" applyFont="1" applyBorder="1" applyAlignment="1">
      <alignment horizontal="centerContinuous" vertical="center" wrapText="1"/>
    </xf>
    <xf numFmtId="0" fontId="16" fillId="0" borderId="17" xfId="0" applyFont="1" applyBorder="1" applyAlignment="1">
      <alignment horizontal="center"/>
    </xf>
    <xf numFmtId="14" fontId="14" fillId="0" borderId="33" xfId="0" applyNumberFormat="1" applyFont="1" applyBorder="1" applyAlignment="1">
      <alignment horizontal="center" vertical="center"/>
    </xf>
    <xf numFmtId="14" fontId="14" fillId="0" borderId="27" xfId="0" applyNumberFormat="1" applyFont="1" applyBorder="1" applyAlignment="1">
      <alignment horizontal="center" vertical="center"/>
    </xf>
    <xf numFmtId="0" fontId="21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/>
    </xf>
    <xf numFmtId="0" fontId="23" fillId="2" borderId="26" xfId="0" applyFont="1" applyFill="1" applyBorder="1" applyAlignment="1">
      <alignment horizontal="center" vertical="center"/>
    </xf>
    <xf numFmtId="0" fontId="23" fillId="11" borderId="26" xfId="0" applyFont="1" applyFill="1" applyBorder="1" applyAlignment="1">
      <alignment horizontal="center" vertical="center"/>
    </xf>
    <xf numFmtId="2" fontId="14" fillId="11" borderId="43" xfId="0" applyNumberFormat="1" applyFont="1" applyFill="1" applyBorder="1" applyAlignment="1">
      <alignment horizontal="center" vertical="center"/>
    </xf>
    <xf numFmtId="0" fontId="23" fillId="13" borderId="26" xfId="0" applyFont="1" applyFill="1" applyBorder="1" applyAlignment="1">
      <alignment horizontal="center" vertical="center"/>
    </xf>
    <xf numFmtId="2" fontId="14" fillId="13" borderId="43" xfId="0" applyNumberFormat="1" applyFont="1" applyFill="1" applyBorder="1" applyAlignment="1">
      <alignment horizontal="center" vertical="center"/>
    </xf>
    <xf numFmtId="164" fontId="16" fillId="10" borderId="3" xfId="0" applyNumberFormat="1" applyFont="1" applyFill="1" applyBorder="1" applyAlignment="1">
      <alignment horizontal="center" vertical="center"/>
    </xf>
    <xf numFmtId="164" fontId="16" fillId="10" borderId="12" xfId="0" applyNumberFormat="1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/>
    </xf>
    <xf numFmtId="1" fontId="16" fillId="12" borderId="1" xfId="0" applyNumberFormat="1" applyFont="1" applyFill="1" applyBorder="1" applyAlignment="1">
      <alignment horizontal="center"/>
    </xf>
    <xf numFmtId="2" fontId="0" fillId="0" borderId="0" xfId="0" applyNumberFormat="1"/>
    <xf numFmtId="0" fontId="0" fillId="2" borderId="0" xfId="0" applyFill="1"/>
    <xf numFmtId="164" fontId="0" fillId="14" borderId="1" xfId="0" applyNumberFormat="1" applyFill="1" applyBorder="1"/>
    <xf numFmtId="0" fontId="16" fillId="15" borderId="1" xfId="0" applyFont="1" applyFill="1" applyBorder="1" applyAlignment="1">
      <alignment horizontal="center" vertical="center"/>
    </xf>
    <xf numFmtId="0" fontId="16" fillId="15" borderId="3" xfId="0" applyFont="1" applyFill="1" applyBorder="1" applyAlignment="1">
      <alignment horizontal="center" vertical="center"/>
    </xf>
    <xf numFmtId="0" fontId="16" fillId="15" borderId="12" xfId="0" applyFont="1" applyFill="1" applyBorder="1" applyAlignment="1">
      <alignment horizontal="center" vertical="center"/>
    </xf>
    <xf numFmtId="164" fontId="16" fillId="4" borderId="1" xfId="0" applyNumberFormat="1" applyFont="1" applyFill="1" applyBorder="1" applyAlignment="1">
      <alignment horizontal="center" vertical="center"/>
    </xf>
    <xf numFmtId="0" fontId="21" fillId="4" borderId="10" xfId="0" applyFont="1" applyFill="1" applyBorder="1" applyAlignment="1">
      <alignment horizontal="centerContinuous" vertical="center"/>
    </xf>
    <xf numFmtId="0" fontId="16" fillId="16" borderId="1" xfId="0" applyFont="1" applyFill="1" applyBorder="1" applyAlignment="1">
      <alignment horizontal="center" vertical="center"/>
    </xf>
    <xf numFmtId="2" fontId="16" fillId="16" borderId="1" xfId="0" applyNumberFormat="1" applyFont="1" applyFill="1" applyBorder="1" applyAlignment="1">
      <alignment horizontal="center" vertical="center"/>
    </xf>
    <xf numFmtId="164" fontId="16" fillId="16" borderId="1" xfId="0" applyNumberFormat="1" applyFont="1" applyFill="1" applyBorder="1" applyAlignment="1">
      <alignment horizontal="center" vertical="center"/>
    </xf>
    <xf numFmtId="0" fontId="21" fillId="15" borderId="1" xfId="0" applyFont="1" applyFill="1" applyBorder="1" applyAlignment="1">
      <alignment horizontal="centerContinuous" vertical="center"/>
    </xf>
    <xf numFmtId="14" fontId="21" fillId="2" borderId="3" xfId="0" applyNumberFormat="1" applyFont="1" applyFill="1" applyBorder="1" applyAlignment="1">
      <alignment horizontal="centerContinuous" vertical="center"/>
    </xf>
    <xf numFmtId="0" fontId="21" fillId="2" borderId="3" xfId="0" applyFont="1" applyFill="1" applyBorder="1" applyAlignment="1">
      <alignment horizontal="centerContinuous" vertical="center" wrapText="1"/>
    </xf>
    <xf numFmtId="0" fontId="21" fillId="2" borderId="3" xfId="0" applyFont="1" applyFill="1" applyBorder="1" applyAlignment="1">
      <alignment horizontal="centerContinuous" vertical="center"/>
    </xf>
    <xf numFmtId="0" fontId="21" fillId="2" borderId="7" xfId="0" applyFont="1" applyFill="1" applyBorder="1" applyAlignment="1">
      <alignment horizontal="centerContinuous" vertical="center" wrapText="1"/>
    </xf>
    <xf numFmtId="0" fontId="21" fillId="15" borderId="0" xfId="0" applyFont="1" applyFill="1" applyAlignment="1">
      <alignment horizontal="centerContinuous" vertical="center" wrapText="1"/>
    </xf>
    <xf numFmtId="0" fontId="21" fillId="10" borderId="10" xfId="0" applyFont="1" applyFill="1" applyBorder="1" applyAlignment="1">
      <alignment horizontal="centerContinuous" vertical="center"/>
    </xf>
    <xf numFmtId="0" fontId="21" fillId="10" borderId="5" xfId="0" applyFont="1" applyFill="1" applyBorder="1" applyAlignment="1">
      <alignment horizontal="centerContinuous" vertical="center"/>
    </xf>
    <xf numFmtId="0" fontId="21" fillId="12" borderId="9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18" fillId="0" borderId="0" xfId="0" applyFont="1" applyAlignment="1">
      <alignment horizontal="center" vertical="center"/>
    </xf>
    <xf numFmtId="0" fontId="23" fillId="13" borderId="1" xfId="0" applyFont="1" applyFill="1" applyBorder="1" applyAlignment="1">
      <alignment horizontal="center" vertical="center"/>
    </xf>
    <xf numFmtId="0" fontId="21" fillId="6" borderId="0" xfId="0" applyFont="1" applyFill="1" applyAlignment="1">
      <alignment horizontal="centerContinuous" vertical="center" wrapText="1"/>
    </xf>
    <xf numFmtId="0" fontId="16" fillId="6" borderId="1" xfId="0" applyFont="1" applyFill="1" applyBorder="1" applyAlignment="1">
      <alignment horizontal="center" vertical="center"/>
    </xf>
    <xf numFmtId="0" fontId="16" fillId="6" borderId="3" xfId="0" applyFont="1" applyFill="1" applyBorder="1" applyAlignment="1">
      <alignment horizontal="center" vertical="center"/>
    </xf>
    <xf numFmtId="0" fontId="21" fillId="15" borderId="3" xfId="0" applyFont="1" applyFill="1" applyBorder="1" applyAlignment="1">
      <alignment horizontal="centerContinuous" vertical="center" wrapText="1"/>
    </xf>
    <xf numFmtId="0" fontId="21" fillId="15" borderId="1" xfId="0" applyFont="1" applyFill="1" applyBorder="1" applyAlignment="1">
      <alignment horizontal="centerContinuous" vertical="center" wrapText="1"/>
    </xf>
    <xf numFmtId="0" fontId="21" fillId="15" borderId="14" xfId="0" applyFont="1" applyFill="1" applyBorder="1" applyAlignment="1">
      <alignment horizontal="centerContinuous" vertical="center" wrapText="1"/>
    </xf>
    <xf numFmtId="0" fontId="16" fillId="15" borderId="8" xfId="0" applyFont="1" applyFill="1" applyBorder="1" applyAlignment="1">
      <alignment horizontal="center" vertical="center"/>
    </xf>
    <xf numFmtId="0" fontId="16" fillId="15" borderId="7" xfId="0" applyFont="1" applyFill="1" applyBorder="1" applyAlignment="1">
      <alignment horizontal="center" vertical="center"/>
    </xf>
    <xf numFmtId="2" fontId="16" fillId="15" borderId="1" xfId="0" applyNumberFormat="1" applyFont="1" applyFill="1" applyBorder="1" applyAlignment="1">
      <alignment horizontal="center" vertical="center"/>
    </xf>
    <xf numFmtId="1" fontId="16" fillId="15" borderId="1" xfId="0" applyNumberFormat="1" applyFont="1" applyFill="1" applyBorder="1" applyAlignment="1">
      <alignment horizontal="center" vertical="center"/>
    </xf>
    <xf numFmtId="0" fontId="16" fillId="15" borderId="6" xfId="0" applyFont="1" applyFill="1" applyBorder="1" applyAlignment="1">
      <alignment horizontal="center" vertical="center"/>
    </xf>
    <xf numFmtId="0" fontId="15" fillId="2" borderId="3" xfId="0" applyFont="1" applyFill="1" applyBorder="1" applyAlignment="1">
      <alignment horizontal="center" vertical="center" wrapText="1"/>
    </xf>
    <xf numFmtId="0" fontId="15" fillId="10" borderId="1" xfId="0" applyFont="1" applyFill="1" applyBorder="1" applyAlignment="1">
      <alignment horizontal="center" vertical="center" wrapText="1"/>
    </xf>
    <xf numFmtId="2" fontId="23" fillId="17" borderId="18" xfId="0" applyNumberFormat="1" applyFont="1" applyFill="1" applyBorder="1" applyAlignment="1">
      <alignment horizontal="center" vertical="center" wrapText="1"/>
    </xf>
    <xf numFmtId="2" fontId="23" fillId="17" borderId="18" xfId="0" applyNumberFormat="1" applyFont="1" applyFill="1" applyBorder="1" applyAlignment="1">
      <alignment horizontal="center" vertical="center"/>
    </xf>
    <xf numFmtId="2" fontId="14" fillId="17" borderId="35" xfId="0" applyNumberFormat="1" applyFont="1" applyFill="1" applyBorder="1" applyAlignment="1">
      <alignment horizontal="center"/>
    </xf>
    <xf numFmtId="0" fontId="21" fillId="13" borderId="7" xfId="0" applyFont="1" applyFill="1" applyBorder="1" applyAlignment="1">
      <alignment horizontal="center" vertical="center" wrapText="1"/>
    </xf>
    <xf numFmtId="0" fontId="23" fillId="13" borderId="7" xfId="0" applyFont="1" applyFill="1" applyBorder="1" applyAlignment="1">
      <alignment horizontal="center" vertical="center" wrapText="1"/>
    </xf>
    <xf numFmtId="2" fontId="23" fillId="13" borderId="7" xfId="0" applyNumberFormat="1" applyFont="1" applyFill="1" applyBorder="1" applyAlignment="1">
      <alignment horizontal="center" vertical="center"/>
    </xf>
    <xf numFmtId="0" fontId="23" fillId="13" borderId="7" xfId="0" applyFont="1" applyFill="1" applyBorder="1" applyAlignment="1">
      <alignment horizontal="center" vertical="center"/>
    </xf>
    <xf numFmtId="0" fontId="23" fillId="13" borderId="33" xfId="0" applyFont="1" applyFill="1" applyBorder="1" applyAlignment="1">
      <alignment horizontal="center" vertical="center"/>
    </xf>
    <xf numFmtId="2" fontId="14" fillId="13" borderId="44" xfId="0" applyNumberFormat="1" applyFont="1" applyFill="1" applyBorder="1" applyAlignment="1">
      <alignment horizontal="center" vertical="center"/>
    </xf>
    <xf numFmtId="0" fontId="23" fillId="9" borderId="17" xfId="0" applyFont="1" applyFill="1" applyBorder="1" applyAlignment="1">
      <alignment horizontal="center" vertical="center" wrapText="1"/>
    </xf>
    <xf numFmtId="0" fontId="23" fillId="9" borderId="18" xfId="0" applyFont="1" applyFill="1" applyBorder="1" applyAlignment="1">
      <alignment horizontal="center" vertical="center" wrapText="1"/>
    </xf>
    <xf numFmtId="2" fontId="14" fillId="9" borderId="20" xfId="0" applyNumberFormat="1" applyFont="1" applyFill="1" applyBorder="1" applyAlignment="1">
      <alignment horizontal="center" vertical="center"/>
    </xf>
    <xf numFmtId="2" fontId="14" fillId="9" borderId="35" xfId="0" applyNumberFormat="1" applyFont="1" applyFill="1" applyBorder="1" applyAlignment="1">
      <alignment horizontal="center" vertical="center"/>
    </xf>
    <xf numFmtId="0" fontId="23" fillId="17" borderId="5" xfId="0" applyFont="1" applyFill="1" applyBorder="1" applyAlignment="1">
      <alignment horizontal="center" vertical="center" wrapText="1"/>
    </xf>
    <xf numFmtId="0" fontId="23" fillId="17" borderId="5" xfId="0" applyFont="1" applyFill="1" applyBorder="1" applyAlignment="1">
      <alignment horizontal="center" vertical="center"/>
    </xf>
    <xf numFmtId="2" fontId="14" fillId="17" borderId="46" xfId="0" applyNumberFormat="1" applyFont="1" applyFill="1" applyBorder="1" applyAlignment="1">
      <alignment horizontal="center"/>
    </xf>
    <xf numFmtId="0" fontId="23" fillId="9" borderId="23" xfId="0" applyFont="1" applyFill="1" applyBorder="1" applyAlignment="1">
      <alignment horizontal="center" vertical="center" wrapText="1"/>
    </xf>
    <xf numFmtId="0" fontId="23" fillId="9" borderId="49" xfId="0" applyFont="1" applyFill="1" applyBorder="1" applyAlignment="1">
      <alignment horizontal="center" vertical="center" wrapText="1"/>
    </xf>
    <xf numFmtId="2" fontId="23" fillId="17" borderId="49" xfId="0" applyNumberFormat="1" applyFont="1" applyFill="1" applyBorder="1" applyAlignment="1">
      <alignment horizontal="center" vertical="center" wrapText="1"/>
    </xf>
    <xf numFmtId="0" fontId="21" fillId="9" borderId="43" xfId="0" applyFont="1" applyFill="1" applyBorder="1" applyAlignment="1">
      <alignment horizontal="center" vertical="center" wrapText="1"/>
    </xf>
    <xf numFmtId="0" fontId="21" fillId="9" borderId="45" xfId="0" applyFont="1" applyFill="1" applyBorder="1" applyAlignment="1">
      <alignment horizontal="center" vertical="center" wrapText="1"/>
    </xf>
    <xf numFmtId="0" fontId="21" fillId="17" borderId="12" xfId="0" applyFont="1" applyFill="1" applyBorder="1" applyAlignment="1">
      <alignment horizontal="center" vertical="center" wrapText="1"/>
    </xf>
    <xf numFmtId="2" fontId="21" fillId="17" borderId="45" xfId="0" applyNumberFormat="1" applyFont="1" applyFill="1" applyBorder="1" applyAlignment="1">
      <alignment horizontal="center" vertical="center" wrapText="1"/>
    </xf>
    <xf numFmtId="0" fontId="15" fillId="15" borderId="1" xfId="0" applyFont="1" applyFill="1" applyBorder="1" applyAlignment="1">
      <alignment horizontal="center" vertical="center" wrapText="1"/>
    </xf>
    <xf numFmtId="14" fontId="15" fillId="2" borderId="3" xfId="0" applyNumberFormat="1" applyFont="1" applyFill="1" applyBorder="1" applyAlignment="1">
      <alignment horizontal="center" vertical="center"/>
    </xf>
    <xf numFmtId="0" fontId="15" fillId="15" borderId="1" xfId="0" applyFont="1" applyFill="1" applyBorder="1" applyAlignment="1">
      <alignment horizontal="center" vertical="center"/>
    </xf>
    <xf numFmtId="0" fontId="15" fillId="2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/>
    </xf>
    <xf numFmtId="17" fontId="15" fillId="2" borderId="1" xfId="0" applyNumberFormat="1" applyFont="1" applyFill="1" applyBorder="1" applyAlignment="1">
      <alignment horizontal="center" vertical="center"/>
    </xf>
    <xf numFmtId="0" fontId="15" fillId="11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 wrapText="1"/>
    </xf>
    <xf numFmtId="0" fontId="15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 wrapText="1"/>
    </xf>
    <xf numFmtId="0" fontId="15" fillId="16" borderId="1" xfId="0" applyFont="1" applyFill="1" applyBorder="1" applyAlignment="1">
      <alignment horizontal="center" vertical="center" wrapText="1"/>
    </xf>
    <xf numFmtId="0" fontId="15" fillId="2" borderId="3" xfId="0" applyFont="1" applyFill="1" applyBorder="1" applyAlignment="1">
      <alignment horizontal="center" vertical="center"/>
    </xf>
    <xf numFmtId="0" fontId="15" fillId="2" borderId="7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1" fontId="15" fillId="0" borderId="1" xfId="0" applyNumberFormat="1" applyFont="1" applyBorder="1" applyAlignment="1">
      <alignment horizontal="center" vertical="center" wrapText="1"/>
    </xf>
    <xf numFmtId="0" fontId="13" fillId="14" borderId="1" xfId="0" applyFont="1" applyFill="1" applyBorder="1" applyAlignment="1">
      <alignment horizontal="center" wrapText="1"/>
    </xf>
    <xf numFmtId="0" fontId="6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4" fontId="14" fillId="0" borderId="50" xfId="0" applyNumberFormat="1" applyFont="1" applyBorder="1" applyAlignment="1">
      <alignment horizontal="center" vertical="center"/>
    </xf>
    <xf numFmtId="14" fontId="16" fillId="0" borderId="51" xfId="0" applyNumberFormat="1" applyFont="1" applyBorder="1" applyAlignment="1">
      <alignment horizontal="center" vertical="center" wrapText="1"/>
    </xf>
    <xf numFmtId="14" fontId="14" fillId="0" borderId="51" xfId="0" applyNumberFormat="1" applyFont="1" applyBorder="1" applyAlignment="1">
      <alignment horizontal="center" vertical="center" wrapText="1"/>
    </xf>
    <xf numFmtId="14" fontId="14" fillId="0" borderId="51" xfId="0" applyNumberFormat="1" applyFont="1" applyBorder="1" applyAlignment="1">
      <alignment horizontal="center" vertical="center"/>
    </xf>
    <xf numFmtId="14" fontId="14" fillId="0" borderId="7" xfId="0" applyNumberFormat="1" applyFont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3" fillId="11" borderId="5" xfId="0" applyFont="1" applyFill="1" applyBorder="1" applyAlignment="1">
      <alignment horizontal="center" vertical="center" wrapText="1"/>
    </xf>
    <xf numFmtId="2" fontId="23" fillId="11" borderId="5" xfId="0" applyNumberFormat="1" applyFont="1" applyFill="1" applyBorder="1" applyAlignment="1">
      <alignment horizontal="center" vertical="center"/>
    </xf>
    <xf numFmtId="0" fontId="23" fillId="11" borderId="5" xfId="0" applyFont="1" applyFill="1" applyBorder="1" applyAlignment="1">
      <alignment horizontal="center" vertical="center"/>
    </xf>
    <xf numFmtId="0" fontId="21" fillId="2" borderId="17" xfId="0" applyFont="1" applyFill="1" applyBorder="1" applyAlignment="1">
      <alignment horizontal="center" vertical="center" wrapText="1"/>
    </xf>
    <xf numFmtId="0" fontId="21" fillId="2" borderId="18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23" fillId="2" borderId="18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/>
    </xf>
    <xf numFmtId="2" fontId="23" fillId="2" borderId="18" xfId="0" applyNumberFormat="1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2" fontId="23" fillId="2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2" fontId="23" fillId="2" borderId="13" xfId="0" applyNumberFormat="1" applyFont="1" applyFill="1" applyBorder="1" applyAlignment="1">
      <alignment horizontal="center" vertical="center"/>
    </xf>
    <xf numFmtId="0" fontId="23" fillId="2" borderId="12" xfId="0" applyFont="1" applyFill="1" applyBorder="1" applyAlignment="1">
      <alignment horizontal="center" vertical="center"/>
    </xf>
    <xf numFmtId="0" fontId="15" fillId="6" borderId="5" xfId="0" applyFont="1" applyFill="1" applyBorder="1" applyAlignment="1">
      <alignment horizontal="center" vertical="center" wrapText="1"/>
    </xf>
    <xf numFmtId="0" fontId="16" fillId="6" borderId="5" xfId="0" applyFont="1" applyFill="1" applyBorder="1" applyAlignment="1">
      <alignment horizontal="center" vertical="center"/>
    </xf>
    <xf numFmtId="1" fontId="16" fillId="6" borderId="5" xfId="0" applyNumberFormat="1" applyFont="1" applyFill="1" applyBorder="1" applyAlignment="1">
      <alignment horizontal="center" vertical="center"/>
    </xf>
    <xf numFmtId="0" fontId="16" fillId="6" borderId="2" xfId="0" applyFont="1" applyFill="1" applyBorder="1" applyAlignment="1">
      <alignment horizontal="center" vertical="center"/>
    </xf>
    <xf numFmtId="0" fontId="16" fillId="6" borderId="11" xfId="0" applyFont="1" applyFill="1" applyBorder="1" applyAlignment="1">
      <alignment horizontal="center" vertical="center"/>
    </xf>
    <xf numFmtId="0" fontId="16" fillId="6" borderId="13" xfId="0" applyFont="1" applyFill="1" applyBorder="1" applyAlignment="1">
      <alignment horizontal="center" vertical="center"/>
    </xf>
    <xf numFmtId="0" fontId="16" fillId="6" borderId="12" xfId="0" applyFont="1" applyFill="1" applyBorder="1" applyAlignment="1">
      <alignment horizontal="center" vertical="center"/>
    </xf>
    <xf numFmtId="2" fontId="16" fillId="6" borderId="12" xfId="0" applyNumberFormat="1" applyFont="1" applyFill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2" fontId="23" fillId="2" borderId="12" xfId="0" applyNumberFormat="1" applyFont="1" applyFill="1" applyBorder="1" applyAlignment="1">
      <alignment horizontal="center" vertical="center"/>
    </xf>
    <xf numFmtId="14" fontId="14" fillId="0" borderId="36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1" fontId="12" fillId="8" borderId="0" xfId="0" applyNumberFormat="1" applyFont="1" applyFill="1" applyAlignment="1">
      <alignment horizontal="center"/>
    </xf>
    <xf numFmtId="0" fontId="21" fillId="16" borderId="0" xfId="0" applyFont="1" applyFill="1" applyAlignment="1">
      <alignment horizontal="center" vertical="center"/>
    </xf>
    <xf numFmtId="0" fontId="21" fillId="18" borderId="0" xfId="0" applyFont="1" applyFill="1" applyAlignment="1">
      <alignment horizontal="centerContinuous" vertical="center" wrapText="1"/>
    </xf>
    <xf numFmtId="0" fontId="15" fillId="18" borderId="1" xfId="0" applyFont="1" applyFill="1" applyBorder="1" applyAlignment="1">
      <alignment horizontal="center" vertical="center" wrapText="1"/>
    </xf>
    <xf numFmtId="0" fontId="16" fillId="18" borderId="1" xfId="0" applyFont="1" applyFill="1" applyBorder="1" applyAlignment="1">
      <alignment horizontal="center" vertical="center"/>
    </xf>
    <xf numFmtId="2" fontId="16" fillId="18" borderId="1" xfId="0" applyNumberFormat="1" applyFont="1" applyFill="1" applyBorder="1" applyAlignment="1">
      <alignment horizontal="center" vertical="center"/>
    </xf>
    <xf numFmtId="0" fontId="16" fillId="18" borderId="12" xfId="0" applyFont="1" applyFill="1" applyBorder="1" applyAlignment="1">
      <alignment horizontal="center" vertical="center"/>
    </xf>
    <xf numFmtId="0" fontId="23" fillId="2" borderId="47" xfId="0" applyFont="1" applyFill="1" applyBorder="1" applyAlignment="1">
      <alignment horizontal="center" vertical="center"/>
    </xf>
    <xf numFmtId="0" fontId="23" fillId="2" borderId="52" xfId="0" applyFont="1" applyFill="1" applyBorder="1" applyAlignment="1">
      <alignment horizontal="center" vertical="center"/>
    </xf>
    <xf numFmtId="0" fontId="23" fillId="2" borderId="53" xfId="0" applyFont="1" applyFill="1" applyBorder="1" applyAlignment="1">
      <alignment horizontal="center" vertical="center"/>
    </xf>
    <xf numFmtId="0" fontId="23" fillId="6" borderId="47" xfId="0" applyFont="1" applyFill="1" applyBorder="1" applyAlignment="1">
      <alignment horizontal="center" vertical="center"/>
    </xf>
    <xf numFmtId="0" fontId="23" fillId="6" borderId="48" xfId="0" applyFont="1" applyFill="1" applyBorder="1" applyAlignment="1">
      <alignment horizontal="center" vertical="center"/>
    </xf>
    <xf numFmtId="0" fontId="23" fillId="11" borderId="13" xfId="0" applyFont="1" applyFill="1" applyBorder="1" applyAlignment="1">
      <alignment horizontal="center" vertical="center"/>
    </xf>
    <xf numFmtId="0" fontId="23" fillId="11" borderId="41" xfId="0" applyFont="1" applyFill="1" applyBorder="1" applyAlignment="1">
      <alignment horizontal="center" vertical="center"/>
    </xf>
    <xf numFmtId="0" fontId="23" fillId="11" borderId="42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 wrapText="1"/>
    </xf>
    <xf numFmtId="0" fontId="17" fillId="10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23" fillId="2" borderId="7" xfId="0" applyFont="1" applyFill="1" applyBorder="1" applyAlignment="1">
      <alignment horizontal="center" vertical="center"/>
    </xf>
    <xf numFmtId="0" fontId="23" fillId="10" borderId="18" xfId="0" applyFont="1" applyFill="1" applyBorder="1" applyAlignment="1">
      <alignment horizontal="center" vertical="center"/>
    </xf>
    <xf numFmtId="0" fontId="16" fillId="0" borderId="23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40" xfId="0" applyFont="1" applyBorder="1" applyAlignment="1">
      <alignment horizontal="center" vertical="center"/>
    </xf>
    <xf numFmtId="0" fontId="21" fillId="0" borderId="35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2" fontId="16" fillId="0" borderId="7" xfId="0" applyNumberFormat="1" applyFont="1" applyBorder="1" applyAlignment="1">
      <alignment horizontal="center" vertical="center"/>
    </xf>
    <xf numFmtId="1" fontId="16" fillId="16" borderId="1" xfId="0" applyNumberFormat="1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wrapText="1"/>
    </xf>
    <xf numFmtId="0" fontId="16" fillId="0" borderId="20" xfId="0" applyFont="1" applyBorder="1" applyAlignment="1">
      <alignment horizontal="center" vertical="center"/>
    </xf>
    <xf numFmtId="0" fontId="16" fillId="0" borderId="40" xfId="0" applyFont="1" applyBorder="1" applyAlignment="1">
      <alignment horizontal="center" vertical="center"/>
    </xf>
    <xf numFmtId="2" fontId="14" fillId="2" borderId="27" xfId="0" applyNumberFormat="1" applyFont="1" applyFill="1" applyBorder="1" applyAlignment="1">
      <alignment horizontal="center" vertical="center"/>
    </xf>
    <xf numFmtId="2" fontId="14" fillId="2" borderId="29" xfId="0" applyNumberFormat="1" applyFont="1" applyFill="1" applyBorder="1" applyAlignment="1">
      <alignment horizontal="center" vertical="center"/>
    </xf>
    <xf numFmtId="0" fontId="16" fillId="0" borderId="15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14" fontId="14" fillId="2" borderId="30" xfId="0" applyNumberFormat="1" applyFont="1" applyFill="1" applyBorder="1" applyAlignment="1">
      <alignment horizontal="center" vertical="center"/>
    </xf>
    <xf numFmtId="14" fontId="14" fillId="2" borderId="31" xfId="0" applyNumberFormat="1" applyFont="1" applyFill="1" applyBorder="1" applyAlignment="1">
      <alignment horizontal="center" vertical="center"/>
    </xf>
    <xf numFmtId="14" fontId="14" fillId="2" borderId="32" xfId="0" applyNumberFormat="1" applyFont="1" applyFill="1" applyBorder="1" applyAlignment="1">
      <alignment horizontal="center" vertical="center"/>
    </xf>
    <xf numFmtId="14" fontId="14" fillId="11" borderId="31" xfId="0" applyNumberFormat="1" applyFont="1" applyFill="1" applyBorder="1" applyAlignment="1">
      <alignment horizontal="center" vertical="center"/>
    </xf>
    <xf numFmtId="14" fontId="14" fillId="11" borderId="32" xfId="0" applyNumberFormat="1" applyFont="1" applyFill="1" applyBorder="1" applyAlignment="1">
      <alignment horizontal="center" vertical="center"/>
    </xf>
    <xf numFmtId="14" fontId="23" fillId="0" borderId="33" xfId="0" applyNumberFormat="1" applyFont="1" applyBorder="1" applyAlignment="1">
      <alignment horizontal="center" vertical="center"/>
    </xf>
    <xf numFmtId="14" fontId="23" fillId="0" borderId="25" xfId="0" applyNumberFormat="1" applyFont="1" applyBorder="1" applyAlignment="1">
      <alignment horizontal="center" vertical="center"/>
    </xf>
    <xf numFmtId="14" fontId="23" fillId="0" borderId="34" xfId="0" applyNumberFormat="1" applyFont="1" applyBorder="1" applyAlignment="1">
      <alignment horizontal="center" vertical="center"/>
    </xf>
    <xf numFmtId="14" fontId="14" fillId="13" borderId="30" xfId="0" applyNumberFormat="1" applyFont="1" applyFill="1" applyBorder="1" applyAlignment="1">
      <alignment horizontal="center" vertical="center"/>
    </xf>
    <xf numFmtId="14" fontId="14" fillId="13" borderId="31" xfId="0" applyNumberFormat="1" applyFont="1" applyFill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14" fontId="21" fillId="9" borderId="12" xfId="0" applyNumberFormat="1" applyFont="1" applyFill="1" applyBorder="1" applyAlignment="1">
      <alignment horizontal="center" vertical="center" wrapText="1"/>
    </xf>
    <xf numFmtId="14" fontId="21" fillId="9" borderId="45" xfId="0" applyNumberFormat="1" applyFont="1" applyFill="1" applyBorder="1" applyAlignment="1">
      <alignment horizontal="center" vertical="center" wrapText="1"/>
    </xf>
    <xf numFmtId="14" fontId="14" fillId="9" borderId="27" xfId="0" applyNumberFormat="1" applyFont="1" applyFill="1" applyBorder="1" applyAlignment="1">
      <alignment horizontal="center" vertical="center"/>
    </xf>
    <xf numFmtId="14" fontId="14" fillId="9" borderId="28" xfId="0" applyNumberFormat="1" applyFont="1" applyFill="1" applyBorder="1" applyAlignment="1">
      <alignment horizontal="center" vertical="center"/>
    </xf>
    <xf numFmtId="2" fontId="14" fillId="11" borderId="44" xfId="0" applyNumberFormat="1" applyFont="1" applyFill="1" applyBorder="1" applyAlignment="1">
      <alignment horizontal="center" vertical="center"/>
    </xf>
    <xf numFmtId="2" fontId="14" fillId="11" borderId="29" xfId="0" applyNumberFormat="1" applyFont="1" applyFill="1" applyBorder="1" applyAlignment="1">
      <alignment horizontal="center" vertical="center"/>
    </xf>
    <xf numFmtId="2" fontId="14" fillId="11" borderId="28" xfId="0" applyNumberFormat="1" applyFont="1" applyFill="1" applyBorder="1" applyAlignment="1">
      <alignment horizontal="center" vertical="center"/>
    </xf>
    <xf numFmtId="2" fontId="14" fillId="9" borderId="22" xfId="0" applyNumberFormat="1" applyFont="1" applyFill="1" applyBorder="1" applyAlignment="1">
      <alignment horizontal="center" vertical="center"/>
    </xf>
    <xf numFmtId="2" fontId="14" fillId="9" borderId="46" xfId="0" applyNumberFormat="1" applyFont="1" applyFill="1" applyBorder="1" applyAlignment="1">
      <alignment horizontal="center" vertical="center"/>
    </xf>
    <xf numFmtId="0" fontId="14" fillId="0" borderId="9" xfId="0" applyFont="1" applyBorder="1" applyAlignment="1">
      <alignment horizontal="center"/>
    </xf>
    <xf numFmtId="1" fontId="21" fillId="0" borderId="1" xfId="0" applyNumberFormat="1" applyFont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16" fillId="0" borderId="8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1" fontId="16" fillId="0" borderId="1" xfId="0" applyNumberFormat="1" applyFont="1" applyBorder="1" applyAlignment="1">
      <alignment horizontal="center" vertical="center"/>
    </xf>
    <xf numFmtId="0" fontId="21" fillId="2" borderId="9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21" fillId="11" borderId="7" xfId="0" applyFont="1" applyFill="1" applyBorder="1" applyAlignment="1">
      <alignment horizontal="center" vertical="center"/>
    </xf>
    <xf numFmtId="0" fontId="21" fillId="11" borderId="10" xfId="0" applyFont="1" applyFill="1" applyBorder="1" applyAlignment="1">
      <alignment horizontal="center" vertical="center"/>
    </xf>
    <xf numFmtId="0" fontId="21" fillId="6" borderId="8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horizontal="center" vertical="center" wrapText="1"/>
    </xf>
    <xf numFmtId="0" fontId="21" fillId="16" borderId="1" xfId="0" applyFont="1" applyFill="1" applyBorder="1" applyAlignment="1">
      <alignment horizontal="center" vertical="center"/>
    </xf>
    <xf numFmtId="0" fontId="21" fillId="16" borderId="3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center"/>
    </xf>
    <xf numFmtId="0" fontId="21" fillId="12" borderId="9" xfId="0" applyFont="1" applyFill="1" applyBorder="1" applyAlignment="1">
      <alignment horizontal="center"/>
    </xf>
    <xf numFmtId="1" fontId="16" fillId="7" borderId="25" xfId="0" applyNumberFormat="1" applyFont="1" applyFill="1" applyBorder="1" applyAlignment="1">
      <alignment horizontal="center" vertical="center"/>
    </xf>
    <xf numFmtId="1" fontId="16" fillId="7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23"/>
  <sheetViews>
    <sheetView workbookViewId="0">
      <selection activeCell="H17" sqref="H17"/>
    </sheetView>
  </sheetViews>
  <sheetFormatPr defaultColWidth="9" defaultRowHeight="14.4"/>
  <cols>
    <col min="2" max="2" width="22.33203125" customWidth="1"/>
    <col min="3" max="3" width="17.44140625" customWidth="1"/>
    <col min="4" max="34" width="4.6640625" customWidth="1"/>
    <col min="35" max="35" width="6.44140625" customWidth="1"/>
    <col min="36" max="36" width="9.33203125" customWidth="1"/>
  </cols>
  <sheetData>
    <row r="1" spans="1:37" ht="21">
      <c r="A1" s="344" t="s">
        <v>0</v>
      </c>
      <c r="B1" s="344"/>
      <c r="C1" s="344"/>
      <c r="D1" s="344"/>
      <c r="E1" s="344"/>
      <c r="F1" s="344"/>
      <c r="G1" s="344"/>
      <c r="H1" s="344"/>
      <c r="I1" s="344"/>
      <c r="J1" s="344"/>
      <c r="K1" s="344"/>
      <c r="L1" s="344"/>
      <c r="M1" s="344"/>
      <c r="N1" s="344"/>
      <c r="O1" s="344"/>
      <c r="P1" s="344"/>
      <c r="Q1" s="344"/>
      <c r="R1" s="344"/>
      <c r="S1" s="344"/>
      <c r="T1" s="344"/>
      <c r="U1" s="344"/>
      <c r="V1" s="344"/>
      <c r="W1" s="344"/>
      <c r="X1" s="344"/>
      <c r="Y1" s="344"/>
      <c r="Z1" s="344"/>
      <c r="AA1" s="344"/>
      <c r="AB1" s="344"/>
      <c r="AC1" s="344"/>
      <c r="AD1" s="344"/>
      <c r="AE1" s="344"/>
      <c r="AF1" s="344"/>
      <c r="AG1" s="344"/>
      <c r="AH1" s="344"/>
      <c r="AI1" s="344"/>
      <c r="AJ1" s="344"/>
      <c r="AK1" s="344"/>
    </row>
    <row r="2" spans="1:37" ht="43.2">
      <c r="A2" s="4" t="s">
        <v>1</v>
      </c>
      <c r="B2" s="4" t="s">
        <v>2</v>
      </c>
      <c r="C2" s="4" t="s">
        <v>3</v>
      </c>
      <c r="D2" s="4">
        <v>1</v>
      </c>
      <c r="E2" s="4">
        <v>2</v>
      </c>
      <c r="F2" s="4">
        <v>3</v>
      </c>
      <c r="G2" s="4">
        <v>4</v>
      </c>
      <c r="H2" s="4">
        <v>5</v>
      </c>
      <c r="I2" s="4">
        <v>6</v>
      </c>
      <c r="J2" s="4">
        <v>7</v>
      </c>
      <c r="K2" s="4">
        <v>8</v>
      </c>
      <c r="L2" s="4">
        <v>9</v>
      </c>
      <c r="M2" s="4">
        <v>10</v>
      </c>
      <c r="N2" s="4">
        <v>11</v>
      </c>
      <c r="O2" s="4">
        <v>12</v>
      </c>
      <c r="P2" s="4">
        <v>13</v>
      </c>
      <c r="Q2" s="4">
        <v>14</v>
      </c>
      <c r="R2" s="4">
        <v>15</v>
      </c>
      <c r="S2" s="4">
        <v>16</v>
      </c>
      <c r="T2" s="4">
        <v>17</v>
      </c>
      <c r="U2" s="4">
        <v>18</v>
      </c>
      <c r="V2" s="4">
        <v>19</v>
      </c>
      <c r="W2" s="4">
        <v>20</v>
      </c>
      <c r="X2" s="4">
        <v>21</v>
      </c>
      <c r="Y2" s="4">
        <v>22</v>
      </c>
      <c r="Z2" s="4">
        <v>23</v>
      </c>
      <c r="AA2" s="4">
        <v>24</v>
      </c>
      <c r="AB2" s="4">
        <v>25</v>
      </c>
      <c r="AC2" s="4">
        <v>26</v>
      </c>
      <c r="AD2" s="4">
        <v>27</v>
      </c>
      <c r="AE2" s="4">
        <v>28</v>
      </c>
      <c r="AF2" s="4">
        <v>29</v>
      </c>
      <c r="AG2" s="4">
        <v>30</v>
      </c>
      <c r="AH2" s="4">
        <v>31</v>
      </c>
      <c r="AI2" s="5" t="s">
        <v>4</v>
      </c>
      <c r="AJ2" s="6" t="s">
        <v>5</v>
      </c>
      <c r="AK2" s="7" t="s">
        <v>6</v>
      </c>
    </row>
    <row r="3" spans="1:37">
      <c r="A3" s="2">
        <v>1</v>
      </c>
      <c r="B3" s="2" t="s">
        <v>7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3">
        <f>D3+E3+F3+G3+H3+I3+J3+K3+L3+M3+N3+O3+P3+Q3+R3+S3+T3+U3+V3+W3+X3+Y3+Z3+AA3+AB3+AC3+AD3+AE3+AG3+AH3</f>
        <v>0</v>
      </c>
      <c r="AJ3" s="8">
        <f>COUNTIF(D3:AH3,"25")</f>
        <v>0</v>
      </c>
      <c r="AK3" s="2">
        <f>AJ3*50</f>
        <v>0</v>
      </c>
    </row>
    <row r="4" spans="1:37">
      <c r="A4" s="2">
        <v>2</v>
      </c>
      <c r="B4" s="2" t="s">
        <v>8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3">
        <f t="shared" ref="AI4:AI21" si="0">D4+E4+F4+G4+H4+I4+J4+K4+L4+M4+N4+O4+P4+Q4+R4+S4+T4+U4+V4+W4+X4+Y4+Z4+AA4+AB4+AC4+AD4+AE4+AG4+AH4</f>
        <v>0</v>
      </c>
      <c r="AJ4" s="8">
        <f t="shared" ref="AJ4:AJ23" si="1">COUNTIF(D4:AH4,"25")</f>
        <v>0</v>
      </c>
      <c r="AK4" s="2">
        <f t="shared" ref="AK4:AK21" si="2">AJ4*50</f>
        <v>0</v>
      </c>
    </row>
    <row r="5" spans="1:37">
      <c r="A5" s="2">
        <v>3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3">
        <f t="shared" si="0"/>
        <v>0</v>
      </c>
      <c r="AJ5" s="8">
        <f t="shared" si="1"/>
        <v>0</v>
      </c>
      <c r="AK5" s="2">
        <f t="shared" si="2"/>
        <v>0</v>
      </c>
    </row>
    <row r="6" spans="1:37">
      <c r="A6" s="2">
        <v>4</v>
      </c>
      <c r="B6" s="2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3">
        <f t="shared" si="0"/>
        <v>0</v>
      </c>
      <c r="AJ6" s="8">
        <f t="shared" si="1"/>
        <v>0</v>
      </c>
      <c r="AK6" s="2">
        <f t="shared" si="2"/>
        <v>0</v>
      </c>
    </row>
    <row r="7" spans="1:37">
      <c r="A7" s="2">
        <v>5</v>
      </c>
      <c r="B7" s="2" t="s">
        <v>11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3">
        <f t="shared" si="0"/>
        <v>0</v>
      </c>
      <c r="AJ7" s="8">
        <f t="shared" si="1"/>
        <v>0</v>
      </c>
      <c r="AK7" s="2">
        <f t="shared" si="2"/>
        <v>0</v>
      </c>
    </row>
    <row r="8" spans="1:37">
      <c r="A8" s="2">
        <v>6</v>
      </c>
      <c r="B8" s="2" t="s">
        <v>12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3">
        <f t="shared" si="0"/>
        <v>0</v>
      </c>
      <c r="AJ8" s="8">
        <f t="shared" si="1"/>
        <v>0</v>
      </c>
      <c r="AK8" s="2">
        <f t="shared" si="2"/>
        <v>0</v>
      </c>
    </row>
    <row r="9" spans="1:37">
      <c r="A9" s="2">
        <v>7</v>
      </c>
      <c r="B9" s="2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3">
        <f t="shared" si="0"/>
        <v>0</v>
      </c>
      <c r="AJ9" s="8">
        <f t="shared" si="1"/>
        <v>0</v>
      </c>
      <c r="AK9" s="2">
        <f t="shared" si="2"/>
        <v>0</v>
      </c>
    </row>
    <row r="10" spans="1:37">
      <c r="A10" s="2">
        <v>8</v>
      </c>
      <c r="B10" s="2" t="s">
        <v>14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3">
        <f t="shared" si="0"/>
        <v>0</v>
      </c>
      <c r="AJ10" s="8">
        <f t="shared" si="1"/>
        <v>0</v>
      </c>
      <c r="AK10" s="2">
        <f t="shared" si="2"/>
        <v>0</v>
      </c>
    </row>
    <row r="11" spans="1:37">
      <c r="A11" s="2">
        <v>9</v>
      </c>
      <c r="B11" s="2" t="s">
        <v>15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3">
        <f t="shared" si="0"/>
        <v>0</v>
      </c>
      <c r="AJ11" s="8">
        <f t="shared" si="1"/>
        <v>0</v>
      </c>
      <c r="AK11" s="2">
        <f t="shared" si="2"/>
        <v>0</v>
      </c>
    </row>
    <row r="12" spans="1:37">
      <c r="A12" s="2">
        <v>10</v>
      </c>
      <c r="B12" s="2" t="s">
        <v>16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3">
        <f t="shared" si="0"/>
        <v>0</v>
      </c>
      <c r="AJ12" s="8">
        <f t="shared" si="1"/>
        <v>0</v>
      </c>
      <c r="AK12" s="2">
        <f t="shared" si="2"/>
        <v>0</v>
      </c>
    </row>
    <row r="13" spans="1:37">
      <c r="A13" s="2">
        <v>11</v>
      </c>
      <c r="B13" s="2" t="s">
        <v>17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3">
        <f t="shared" si="0"/>
        <v>0</v>
      </c>
      <c r="AJ13" s="8">
        <f t="shared" si="1"/>
        <v>0</v>
      </c>
      <c r="AK13" s="2">
        <f t="shared" si="2"/>
        <v>0</v>
      </c>
    </row>
    <row r="14" spans="1:37">
      <c r="A14" s="2">
        <v>12</v>
      </c>
      <c r="B14" s="2" t="s">
        <v>18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3">
        <f t="shared" si="0"/>
        <v>0</v>
      </c>
      <c r="AJ14" s="8">
        <f t="shared" si="1"/>
        <v>0</v>
      </c>
      <c r="AK14" s="2">
        <f t="shared" si="2"/>
        <v>0</v>
      </c>
    </row>
    <row r="15" spans="1:37">
      <c r="A15" s="2">
        <v>13</v>
      </c>
      <c r="B15" s="2" t="s">
        <v>19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3">
        <f t="shared" si="0"/>
        <v>0</v>
      </c>
      <c r="AJ15" s="8">
        <f t="shared" si="1"/>
        <v>0</v>
      </c>
      <c r="AK15" s="2">
        <f t="shared" si="2"/>
        <v>0</v>
      </c>
    </row>
    <row r="16" spans="1:37">
      <c r="A16" s="2">
        <v>14</v>
      </c>
      <c r="B16" s="2" t="s">
        <v>20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3">
        <f t="shared" si="0"/>
        <v>0</v>
      </c>
      <c r="AJ16" s="8">
        <f t="shared" si="1"/>
        <v>0</v>
      </c>
      <c r="AK16" s="2">
        <f t="shared" si="2"/>
        <v>0</v>
      </c>
    </row>
    <row r="17" spans="1:37">
      <c r="A17" s="2">
        <v>15</v>
      </c>
      <c r="B17" s="2" t="s">
        <v>21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3">
        <f t="shared" si="0"/>
        <v>0</v>
      </c>
      <c r="AJ17" s="8">
        <f t="shared" si="1"/>
        <v>0</v>
      </c>
      <c r="AK17" s="2">
        <f t="shared" si="2"/>
        <v>0</v>
      </c>
    </row>
    <row r="18" spans="1:37">
      <c r="A18" s="2">
        <v>16</v>
      </c>
      <c r="B18" s="2" t="s">
        <v>22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3">
        <f t="shared" si="0"/>
        <v>0</v>
      </c>
      <c r="AJ18" s="8">
        <f t="shared" si="1"/>
        <v>0</v>
      </c>
      <c r="AK18" s="2">
        <f t="shared" si="2"/>
        <v>0</v>
      </c>
    </row>
    <row r="19" spans="1:37">
      <c r="A19" s="2">
        <v>17</v>
      </c>
      <c r="B19" s="2" t="s">
        <v>23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3">
        <f t="shared" si="0"/>
        <v>0</v>
      </c>
      <c r="AJ19" s="8">
        <f t="shared" si="1"/>
        <v>0</v>
      </c>
      <c r="AK19" s="2">
        <f t="shared" si="2"/>
        <v>0</v>
      </c>
    </row>
    <row r="20" spans="1:37">
      <c r="A20" s="2">
        <v>18</v>
      </c>
      <c r="B20" s="2" t="s">
        <v>24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3">
        <f t="shared" si="0"/>
        <v>0</v>
      </c>
      <c r="AJ20" s="8">
        <f t="shared" si="1"/>
        <v>0</v>
      </c>
      <c r="AK20" s="2">
        <f t="shared" si="2"/>
        <v>0</v>
      </c>
    </row>
    <row r="21" spans="1:37">
      <c r="A21" s="2">
        <v>19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3">
        <f t="shared" si="0"/>
        <v>0</v>
      </c>
      <c r="AJ21" s="8">
        <f t="shared" si="1"/>
        <v>0</v>
      </c>
      <c r="AK21" s="2">
        <f t="shared" si="2"/>
        <v>0</v>
      </c>
    </row>
    <row r="22" spans="1:37">
      <c r="A22" s="2">
        <v>20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8">
        <f t="shared" si="1"/>
        <v>0</v>
      </c>
      <c r="AK22" s="2"/>
    </row>
    <row r="23" spans="1:37">
      <c r="A23" s="2">
        <v>21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8">
        <f t="shared" si="1"/>
        <v>0</v>
      </c>
      <c r="AK23" s="2"/>
    </row>
  </sheetData>
  <mergeCells count="1">
    <mergeCell ref="A1:AK1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L635"/>
  <sheetViews>
    <sheetView tabSelected="1" zoomScale="83" zoomScaleNormal="83" workbookViewId="0">
      <pane xSplit="1" ySplit="2" topLeftCell="I24" activePane="bottomRight" state="frozen"/>
      <selection pane="topRight" activeCell="B1" sqref="B1"/>
      <selection pane="bottomLeft" activeCell="A3" sqref="A3"/>
      <selection pane="bottomRight" activeCell="W39" sqref="W39"/>
    </sheetView>
  </sheetViews>
  <sheetFormatPr defaultColWidth="9" defaultRowHeight="14.4"/>
  <cols>
    <col min="1" max="1" width="13.33203125" style="31" customWidth="1"/>
    <col min="2" max="2" width="8.88671875" style="1" customWidth="1"/>
    <col min="3" max="3" width="10.88671875" style="1" customWidth="1"/>
    <col min="4" max="4" width="7.6640625" style="1" customWidth="1"/>
    <col min="5" max="5" width="9.44140625" style="1" customWidth="1"/>
    <col min="6" max="6" width="9.88671875" style="1" customWidth="1"/>
    <col min="7" max="7" width="9.33203125" style="1" customWidth="1"/>
    <col min="8" max="8" width="14.21875" style="1" customWidth="1"/>
    <col min="9" max="10" width="10.77734375" style="1" customWidth="1"/>
    <col min="11" max="11" width="12.6640625" style="1" customWidth="1"/>
    <col min="12" max="12" width="9.5546875" style="1" hidden="1" customWidth="1"/>
    <col min="13" max="13" width="9.88671875" style="1" customWidth="1"/>
    <col min="14" max="14" width="9.77734375" style="1" customWidth="1"/>
    <col min="15" max="15" width="7.5546875" style="52" customWidth="1"/>
    <col min="16" max="16" width="7.5546875" style="1" customWidth="1"/>
    <col min="17" max="17" width="9.77734375" style="52" customWidth="1"/>
    <col min="18" max="22" width="9" style="52" customWidth="1"/>
    <col min="23" max="23" width="9" style="1" customWidth="1"/>
    <col min="24" max="24" width="11.33203125" style="1" customWidth="1"/>
    <col min="25" max="29" width="9" style="1" customWidth="1"/>
    <col min="30" max="30" width="10" style="1" customWidth="1"/>
    <col min="31" max="32" width="9" style="1" customWidth="1"/>
    <col min="33" max="33" width="7.33203125" style="50" customWidth="1"/>
    <col min="34" max="36" width="7.6640625" style="50" customWidth="1"/>
    <col min="37" max="38" width="7.88671875" style="1" customWidth="1"/>
    <col min="39" max="41" width="7.6640625" style="1" customWidth="1"/>
    <col min="42" max="43" width="8.77734375" style="1" customWidth="1"/>
    <col min="44" max="44" width="6.88671875" style="120" customWidth="1"/>
    <col min="45" max="46" width="10.109375" style="120" customWidth="1"/>
    <col min="47" max="47" width="8.6640625" style="1" customWidth="1"/>
    <col min="48" max="48" width="11.44140625" style="120" customWidth="1"/>
    <col min="49" max="50" width="8.6640625" style="1" customWidth="1"/>
    <col min="51" max="51" width="10" style="1" customWidth="1"/>
    <col min="52" max="52" width="11.21875" style="1" bestFit="1" customWidth="1"/>
    <col min="53" max="53" width="9.77734375" style="1" bestFit="1" customWidth="1"/>
    <col min="54" max="54" width="8.6640625" style="1" customWidth="1"/>
    <col min="55" max="55" width="8" style="66" customWidth="1"/>
    <col min="56" max="56" width="7.21875" style="66" customWidth="1"/>
    <col min="57" max="57" width="9.88671875" style="66" customWidth="1"/>
    <col min="58" max="58" width="7.6640625" style="66" customWidth="1"/>
    <col min="59" max="62" width="7.109375" style="66" customWidth="1"/>
    <col min="63" max="63" width="11.21875" style="120" customWidth="1"/>
    <col min="64" max="64" width="10" style="120" customWidth="1"/>
    <col min="65" max="67" width="7.109375" style="120" customWidth="1"/>
    <col min="68" max="72" width="8.77734375" style="120" customWidth="1"/>
    <col min="73" max="76" width="7.21875" style="69" customWidth="1"/>
    <col min="77" max="77" width="9" style="69" customWidth="1"/>
    <col min="78" max="78" width="8.33203125" style="69" customWidth="1"/>
    <col min="79" max="79" width="7.6640625" style="120" customWidth="1"/>
    <col min="80" max="80" width="10.21875" style="1" customWidth="1"/>
    <col min="81" max="81" width="8.21875" style="1" customWidth="1"/>
    <col min="82" max="83" width="7.44140625" style="1" customWidth="1"/>
    <col min="84" max="84" width="7.88671875" style="1" customWidth="1"/>
    <col min="85" max="85" width="7.6640625" style="1" customWidth="1"/>
    <col min="86" max="86" width="9.33203125" style="1" customWidth="1"/>
    <col min="87" max="87" width="7.77734375" style="1" customWidth="1"/>
    <col min="88" max="88" width="7.6640625" style="1" customWidth="1"/>
    <col min="89" max="89" width="8.6640625" style="1" customWidth="1"/>
    <col min="90" max="90" width="8.109375" style="52" customWidth="1"/>
    <col min="91" max="91" width="9" style="48" customWidth="1"/>
    <col min="92" max="92" width="7.77734375" style="48" customWidth="1"/>
    <col min="93" max="94" width="9" style="48" customWidth="1"/>
    <col min="95" max="95" width="7.21875" style="48" customWidth="1"/>
    <col min="96" max="96" width="8.5546875" style="93" customWidth="1"/>
    <col min="97" max="97" width="11.6640625" style="18" customWidth="1"/>
    <col min="98" max="98" width="13.109375" style="18" customWidth="1"/>
    <col min="99" max="99" width="10" style="18" customWidth="1"/>
    <col min="100" max="100" width="6.88671875" style="18" customWidth="1"/>
    <col min="101" max="102" width="9.77734375" style="18" customWidth="1"/>
    <col min="103" max="103" width="6.88671875" style="18" customWidth="1"/>
    <col min="104" max="105" width="11.109375" style="18" customWidth="1"/>
    <col min="106" max="106" width="11.5546875" style="70" bestFit="1" customWidth="1"/>
    <col min="107" max="107" width="7.88671875" customWidth="1"/>
    <col min="108" max="108" width="9" style="176"/>
    <col min="109" max="109" width="10.33203125" style="176" bestFit="1" customWidth="1"/>
    <col min="112" max="112" width="9.5546875" bestFit="1" customWidth="1"/>
    <col min="113" max="113" width="7.88671875" bestFit="1" customWidth="1"/>
    <col min="114" max="114" width="11" bestFit="1" customWidth="1"/>
    <col min="115" max="115" width="8.88671875" bestFit="1" customWidth="1"/>
  </cols>
  <sheetData>
    <row r="1" spans="1:142" s="196" customFormat="1" ht="18" customHeight="1">
      <c r="A1" s="187" t="s">
        <v>120</v>
      </c>
      <c r="B1" s="188"/>
      <c r="C1" s="188"/>
      <c r="D1" s="188"/>
      <c r="E1" s="188"/>
      <c r="F1" s="188"/>
      <c r="G1" s="189"/>
      <c r="H1" s="188"/>
      <c r="I1" s="188"/>
      <c r="J1" s="188"/>
      <c r="K1" s="190"/>
      <c r="L1" s="188"/>
      <c r="M1" s="202"/>
      <c r="N1" s="203" t="s">
        <v>67</v>
      </c>
      <c r="O1" s="203"/>
      <c r="P1" s="203"/>
      <c r="Q1" s="204"/>
      <c r="R1" s="191"/>
      <c r="S1" s="290"/>
      <c r="T1" s="290"/>
      <c r="U1" s="290"/>
      <c r="V1" s="290"/>
      <c r="W1" s="191"/>
      <c r="X1" s="199" t="s">
        <v>124</v>
      </c>
      <c r="Y1" s="199"/>
      <c r="Z1" s="199"/>
      <c r="AA1" s="199"/>
      <c r="AB1" s="199"/>
      <c r="AC1" s="199"/>
      <c r="AD1" s="186" t="s">
        <v>56</v>
      </c>
      <c r="AE1" s="191"/>
      <c r="AF1" s="191"/>
      <c r="AG1" s="186"/>
      <c r="AH1" s="186"/>
      <c r="AI1" s="186"/>
      <c r="AJ1" s="354" t="s">
        <v>32</v>
      </c>
      <c r="AK1" s="355"/>
      <c r="AL1" s="355"/>
      <c r="AM1" s="355"/>
      <c r="AN1" s="355"/>
      <c r="AO1" s="355"/>
      <c r="AP1" s="355"/>
      <c r="AQ1" s="355"/>
      <c r="AR1" s="350" t="s">
        <v>147</v>
      </c>
      <c r="AS1" s="350"/>
      <c r="AT1" s="350"/>
      <c r="AU1" s="350"/>
      <c r="AV1" s="350"/>
      <c r="AW1" s="350"/>
      <c r="AX1" s="350"/>
      <c r="AY1" s="350"/>
      <c r="AZ1" s="350"/>
      <c r="BA1" s="350"/>
      <c r="BB1" s="351"/>
      <c r="BC1" s="352" t="s">
        <v>148</v>
      </c>
      <c r="BD1" s="353"/>
      <c r="BE1" s="353"/>
      <c r="BF1" s="353"/>
      <c r="BG1" s="353"/>
      <c r="BH1" s="353"/>
      <c r="BI1" s="353"/>
      <c r="BJ1" s="353"/>
      <c r="BK1" s="353"/>
      <c r="BL1" s="353"/>
      <c r="BM1" s="182" t="s">
        <v>122</v>
      </c>
      <c r="BN1" s="182"/>
      <c r="BO1" s="182"/>
      <c r="BP1" s="182"/>
      <c r="BQ1" s="182"/>
      <c r="BR1" s="182"/>
      <c r="BS1" s="182"/>
      <c r="BT1" s="182"/>
      <c r="BU1" s="192" t="s">
        <v>95</v>
      </c>
      <c r="BV1" s="192"/>
      <c r="BW1" s="192"/>
      <c r="BX1" s="192"/>
      <c r="BY1" s="192"/>
      <c r="BZ1" s="192"/>
      <c r="CA1" s="193"/>
      <c r="CB1" s="346" t="s">
        <v>78</v>
      </c>
      <c r="CC1" s="346"/>
      <c r="CD1" s="346"/>
      <c r="CE1" s="346"/>
      <c r="CF1" s="346"/>
      <c r="CG1" s="346"/>
      <c r="CH1" s="346"/>
      <c r="CI1" s="346"/>
      <c r="CJ1" s="346"/>
      <c r="CK1" s="346"/>
      <c r="CL1" s="346"/>
      <c r="CM1" s="358" t="s">
        <v>60</v>
      </c>
      <c r="CN1" s="359"/>
      <c r="CO1" s="359"/>
      <c r="CP1" s="359"/>
      <c r="CQ1" s="359"/>
      <c r="CR1" s="194"/>
      <c r="CS1" s="356" t="s">
        <v>70</v>
      </c>
      <c r="CT1" s="356"/>
      <c r="CU1" s="356"/>
      <c r="CV1" s="356"/>
      <c r="CW1" s="356"/>
      <c r="CX1" s="356"/>
      <c r="CY1" s="356"/>
      <c r="CZ1" s="357"/>
      <c r="DA1" s="289"/>
      <c r="DB1" s="195"/>
      <c r="DD1" s="74"/>
      <c r="DE1" s="74"/>
    </row>
    <row r="2" spans="1:142" s="52" customFormat="1" ht="63" customHeight="1">
      <c r="A2" s="236" t="s">
        <v>25</v>
      </c>
      <c r="B2" s="210" t="s">
        <v>83</v>
      </c>
      <c r="C2" s="210" t="s">
        <v>84</v>
      </c>
      <c r="D2" s="210" t="s">
        <v>85</v>
      </c>
      <c r="E2" s="210" t="s">
        <v>86</v>
      </c>
      <c r="F2" s="210" t="s">
        <v>73</v>
      </c>
      <c r="G2" s="246" t="s">
        <v>28</v>
      </c>
      <c r="H2" s="210" t="s">
        <v>87</v>
      </c>
      <c r="I2" s="210" t="s">
        <v>29</v>
      </c>
      <c r="J2" s="210" t="s">
        <v>30</v>
      </c>
      <c r="K2" s="247" t="s">
        <v>31</v>
      </c>
      <c r="L2" s="210" t="s">
        <v>81</v>
      </c>
      <c r="M2" s="235" t="s">
        <v>88</v>
      </c>
      <c r="N2" s="235" t="s">
        <v>34</v>
      </c>
      <c r="O2" s="235" t="s">
        <v>74</v>
      </c>
      <c r="P2" s="235" t="s">
        <v>89</v>
      </c>
      <c r="Q2" s="235" t="s">
        <v>90</v>
      </c>
      <c r="R2" s="235" t="s">
        <v>91</v>
      </c>
      <c r="S2" s="291" t="s">
        <v>136</v>
      </c>
      <c r="T2" s="291" t="s">
        <v>142</v>
      </c>
      <c r="U2" s="291" t="s">
        <v>137</v>
      </c>
      <c r="V2" s="291" t="s">
        <v>140</v>
      </c>
      <c r="W2" s="235" t="s">
        <v>82</v>
      </c>
      <c r="X2" s="248" t="s">
        <v>118</v>
      </c>
      <c r="Y2" s="248" t="s">
        <v>125</v>
      </c>
      <c r="Z2" s="248" t="s">
        <v>132</v>
      </c>
      <c r="AA2" s="248" t="s">
        <v>126</v>
      </c>
      <c r="AB2" s="248" t="s">
        <v>55</v>
      </c>
      <c r="AC2" s="248" t="s">
        <v>66</v>
      </c>
      <c r="AD2" s="235" t="s">
        <v>118</v>
      </c>
      <c r="AE2" s="235" t="s">
        <v>119</v>
      </c>
      <c r="AF2" s="235" t="s">
        <v>132</v>
      </c>
      <c r="AG2" s="237" t="s">
        <v>103</v>
      </c>
      <c r="AH2" s="237" t="s">
        <v>55</v>
      </c>
      <c r="AI2" s="235" t="s">
        <v>66</v>
      </c>
      <c r="AJ2" s="248" t="s">
        <v>133</v>
      </c>
      <c r="AK2" s="248" t="s">
        <v>35</v>
      </c>
      <c r="AL2" s="248" t="s">
        <v>36</v>
      </c>
      <c r="AM2" s="248" t="s">
        <v>37</v>
      </c>
      <c r="AN2" s="274" t="s">
        <v>77</v>
      </c>
      <c r="AO2" s="274" t="s">
        <v>116</v>
      </c>
      <c r="AP2" s="274" t="s">
        <v>76</v>
      </c>
      <c r="AQ2" s="248" t="s">
        <v>66</v>
      </c>
      <c r="AR2" s="238" t="s">
        <v>131</v>
      </c>
      <c r="AS2" s="238" t="s">
        <v>127</v>
      </c>
      <c r="AT2" s="238" t="s">
        <v>128</v>
      </c>
      <c r="AU2" s="238" t="s">
        <v>38</v>
      </c>
      <c r="AV2" s="238" t="s">
        <v>129</v>
      </c>
      <c r="AW2" s="238" t="s">
        <v>61</v>
      </c>
      <c r="AX2" s="239" t="s">
        <v>92</v>
      </c>
      <c r="AY2" s="239" t="s">
        <v>93</v>
      </c>
      <c r="AZ2" s="238" t="s">
        <v>55</v>
      </c>
      <c r="BA2" s="240" t="s">
        <v>53</v>
      </c>
      <c r="BB2" s="239" t="s">
        <v>54</v>
      </c>
      <c r="BC2" s="241" t="s">
        <v>99</v>
      </c>
      <c r="BD2" s="241" t="s">
        <v>100</v>
      </c>
      <c r="BE2" s="241" t="s">
        <v>55</v>
      </c>
      <c r="BF2" s="241" t="s">
        <v>53</v>
      </c>
      <c r="BG2" s="241" t="s">
        <v>111</v>
      </c>
      <c r="BH2" s="241" t="s">
        <v>149</v>
      </c>
      <c r="BI2" s="241" t="s">
        <v>129</v>
      </c>
      <c r="BJ2" s="303" t="s">
        <v>130</v>
      </c>
      <c r="BK2" s="303" t="s">
        <v>151</v>
      </c>
      <c r="BL2" s="241" t="s">
        <v>144</v>
      </c>
      <c r="BM2" s="242" t="s">
        <v>121</v>
      </c>
      <c r="BN2" s="242" t="s">
        <v>92</v>
      </c>
      <c r="BO2" s="242" t="s">
        <v>93</v>
      </c>
      <c r="BP2" s="242" t="s">
        <v>123</v>
      </c>
      <c r="BQ2" s="242" t="s">
        <v>145</v>
      </c>
      <c r="BR2" s="242" t="s">
        <v>159</v>
      </c>
      <c r="BS2" s="242" t="s">
        <v>150</v>
      </c>
      <c r="BT2" s="242" t="s">
        <v>146</v>
      </c>
      <c r="BU2" s="211" t="s">
        <v>35</v>
      </c>
      <c r="BV2" s="211" t="s">
        <v>55</v>
      </c>
      <c r="BW2" s="211" t="s">
        <v>131</v>
      </c>
      <c r="BX2" s="211" t="s">
        <v>129</v>
      </c>
      <c r="BY2" s="304" t="s">
        <v>130</v>
      </c>
      <c r="BZ2" s="211" t="s">
        <v>152</v>
      </c>
      <c r="CA2" s="211" t="s">
        <v>143</v>
      </c>
      <c r="CB2" s="117" t="s">
        <v>39</v>
      </c>
      <c r="CC2" s="249" t="s">
        <v>40</v>
      </c>
      <c r="CD2" s="117" t="s">
        <v>41</v>
      </c>
      <c r="CE2" s="117" t="s">
        <v>42</v>
      </c>
      <c r="CF2" s="117" t="s">
        <v>44</v>
      </c>
      <c r="CG2" s="117" t="s">
        <v>43</v>
      </c>
      <c r="CH2" s="117" t="s">
        <v>96</v>
      </c>
      <c r="CI2" s="117" t="s">
        <v>95</v>
      </c>
      <c r="CJ2" s="117" t="s">
        <v>139</v>
      </c>
      <c r="CK2" s="117" t="s">
        <v>45</v>
      </c>
      <c r="CL2" s="117" t="s">
        <v>46</v>
      </c>
      <c r="CM2" s="243" t="s">
        <v>26</v>
      </c>
      <c r="CN2" s="243" t="s">
        <v>48</v>
      </c>
      <c r="CO2" s="243" t="s">
        <v>27</v>
      </c>
      <c r="CP2" s="243" t="s">
        <v>49</v>
      </c>
      <c r="CQ2" s="243" t="s">
        <v>50</v>
      </c>
      <c r="CR2" s="244" t="s">
        <v>80</v>
      </c>
      <c r="CS2" s="245" t="s">
        <v>62</v>
      </c>
      <c r="CT2" s="245" t="s">
        <v>43</v>
      </c>
      <c r="CU2" s="245" t="s">
        <v>33</v>
      </c>
      <c r="CV2" s="245" t="s">
        <v>97</v>
      </c>
      <c r="CW2" s="245" t="s">
        <v>95</v>
      </c>
      <c r="CX2" s="245" t="s">
        <v>138</v>
      </c>
      <c r="CY2" s="245" t="s">
        <v>79</v>
      </c>
      <c r="CZ2" s="245" t="s">
        <v>69</v>
      </c>
      <c r="DA2" s="245" t="s">
        <v>141</v>
      </c>
      <c r="DB2" s="305" t="s">
        <v>153</v>
      </c>
      <c r="DC2" s="286" t="s">
        <v>135</v>
      </c>
      <c r="DD2" s="250" t="s">
        <v>117</v>
      </c>
      <c r="DE2" s="316" t="s">
        <v>25</v>
      </c>
      <c r="DF2" s="123" t="s">
        <v>161</v>
      </c>
      <c r="DG2" s="123" t="s">
        <v>29</v>
      </c>
      <c r="DH2" s="123" t="s">
        <v>83</v>
      </c>
      <c r="DI2" s="123" t="s">
        <v>28</v>
      </c>
      <c r="DJ2" s="123" t="s">
        <v>162</v>
      </c>
      <c r="DK2" s="123" t="s">
        <v>31</v>
      </c>
    </row>
    <row r="3" spans="1:142" ht="15.6">
      <c r="A3" s="32">
        <v>46082</v>
      </c>
      <c r="B3" s="34">
        <v>31</v>
      </c>
      <c r="C3" s="4">
        <v>0</v>
      </c>
      <c r="D3" s="4">
        <v>194</v>
      </c>
      <c r="E3" s="4"/>
      <c r="F3" s="4">
        <f>+B3+C3+D3+E3</f>
        <v>225</v>
      </c>
      <c r="G3" s="4">
        <f t="shared" ref="G3:G33" si="0">B3*30</f>
        <v>930</v>
      </c>
      <c r="H3" s="4">
        <f t="shared" ref="H3:H33" si="1">C3*30</f>
        <v>0</v>
      </c>
      <c r="I3" s="4">
        <f t="shared" ref="I3:I33" si="2">D3*30</f>
        <v>5820</v>
      </c>
      <c r="J3" s="4">
        <f t="shared" ref="J3:J33" si="3">E3*30</f>
        <v>0</v>
      </c>
      <c r="K3" s="12">
        <f t="shared" ref="K3:K33" si="4">G3+H3+I3+J3</f>
        <v>6750</v>
      </c>
      <c r="L3" s="61">
        <f t="shared" ref="L3:L33" si="5">ROUNDUP(K3/2.7,0)</f>
        <v>2500</v>
      </c>
      <c r="M3" s="205">
        <v>3</v>
      </c>
      <c r="N3" s="178">
        <v>22.1</v>
      </c>
      <c r="O3" s="178">
        <v>23</v>
      </c>
      <c r="P3" s="178">
        <v>136.53</v>
      </c>
      <c r="Q3" s="178">
        <v>19</v>
      </c>
      <c r="R3" s="178">
        <v>14.4</v>
      </c>
      <c r="S3" s="292">
        <v>8.9</v>
      </c>
      <c r="T3" s="292">
        <v>65</v>
      </c>
      <c r="U3" s="292">
        <v>27</v>
      </c>
      <c r="V3" s="292">
        <v>100</v>
      </c>
      <c r="W3" s="178">
        <f>P3-Q3-R3</f>
        <v>103.13</v>
      </c>
      <c r="X3" s="200">
        <v>0</v>
      </c>
      <c r="Y3" s="200">
        <v>6.2</v>
      </c>
      <c r="Z3" s="200">
        <v>3</v>
      </c>
      <c r="AA3" s="200">
        <v>30</v>
      </c>
      <c r="AB3" s="200">
        <v>915.27</v>
      </c>
      <c r="AC3" s="200">
        <v>200</v>
      </c>
      <c r="AD3" s="178">
        <f>4.4+1.8</f>
        <v>6.2</v>
      </c>
      <c r="AE3" s="178">
        <v>2.7</v>
      </c>
      <c r="AF3" s="178">
        <v>8</v>
      </c>
      <c r="AG3" s="178">
        <v>47</v>
      </c>
      <c r="AH3" s="178">
        <f>AG3*29</f>
        <v>1363</v>
      </c>
      <c r="AI3" s="178">
        <v>330</v>
      </c>
      <c r="AJ3" s="200">
        <v>3</v>
      </c>
      <c r="AK3" s="200">
        <v>12.4</v>
      </c>
      <c r="AL3" s="200">
        <v>38</v>
      </c>
      <c r="AM3" s="200">
        <v>212.5</v>
      </c>
      <c r="AN3" s="275">
        <v>0</v>
      </c>
      <c r="AO3" s="275">
        <v>212.5</v>
      </c>
      <c r="AP3" s="275">
        <f>AM3-AN3-AO3</f>
        <v>0</v>
      </c>
      <c r="AQ3" s="276">
        <v>414</v>
      </c>
      <c r="AR3" s="6">
        <v>2</v>
      </c>
      <c r="AS3" s="6">
        <v>178</v>
      </c>
      <c r="AT3" s="6">
        <v>52</v>
      </c>
      <c r="AU3" s="60">
        <v>1.73</v>
      </c>
      <c r="AV3" s="6">
        <v>11.1</v>
      </c>
      <c r="AW3" s="62">
        <v>6.92</v>
      </c>
      <c r="AX3" s="62">
        <v>7</v>
      </c>
      <c r="AY3" s="62">
        <v>7</v>
      </c>
      <c r="AZ3" s="94">
        <v>1200</v>
      </c>
      <c r="BA3" s="94">
        <v>600</v>
      </c>
      <c r="BB3" s="95">
        <f>AZ3-BA3</f>
        <v>600</v>
      </c>
      <c r="BC3" s="124">
        <v>3</v>
      </c>
      <c r="BD3" s="124">
        <v>5</v>
      </c>
      <c r="BE3" s="124">
        <v>150</v>
      </c>
      <c r="BF3" s="124">
        <v>80</v>
      </c>
      <c r="BG3" s="124">
        <v>70</v>
      </c>
      <c r="BH3" s="124">
        <v>1</v>
      </c>
      <c r="BI3" s="124">
        <v>3.1</v>
      </c>
      <c r="BJ3" s="124">
        <v>25</v>
      </c>
      <c r="BK3" s="124">
        <v>110</v>
      </c>
      <c r="BL3" s="124">
        <f>BJ3+BK3</f>
        <v>135</v>
      </c>
      <c r="BM3" s="181">
        <f t="shared" ref="BM3:BM33" si="6">+AW3+BC3</f>
        <v>9.92</v>
      </c>
      <c r="BN3" s="181">
        <f t="shared" ref="BN3:BN33" si="7">AX3+BC3</f>
        <v>10</v>
      </c>
      <c r="BO3" s="181">
        <f t="shared" ref="BO3:BO33" si="8">AY3+BD3</f>
        <v>12</v>
      </c>
      <c r="BP3" s="181">
        <f t="shared" ref="BP3:BP33" si="9">+AZ3+BE3</f>
        <v>1350</v>
      </c>
      <c r="BQ3" s="181">
        <f>BI3+AV3</f>
        <v>14.2</v>
      </c>
      <c r="BR3" s="181">
        <f>+BJ3+AS3</f>
        <v>203</v>
      </c>
      <c r="BS3" s="181">
        <f>+BK3+AT3</f>
        <v>162</v>
      </c>
      <c r="BT3" s="181">
        <f>BR3+BS3</f>
        <v>365</v>
      </c>
      <c r="BU3" s="86">
        <v>0</v>
      </c>
      <c r="BV3" s="86">
        <v>0</v>
      </c>
      <c r="BW3" s="86">
        <v>0</v>
      </c>
      <c r="BX3" s="86">
        <v>0</v>
      </c>
      <c r="BY3" s="86">
        <v>0</v>
      </c>
      <c r="BZ3" s="86">
        <v>0</v>
      </c>
      <c r="CA3" s="86">
        <f>+BY3+BZ3</f>
        <v>0</v>
      </c>
      <c r="CB3" s="4">
        <f>2147-373</f>
        <v>1774</v>
      </c>
      <c r="CC3" s="4">
        <f>184-157</f>
        <v>27</v>
      </c>
      <c r="CD3" s="55">
        <f>AQ3</f>
        <v>414</v>
      </c>
      <c r="CE3" s="4">
        <v>189</v>
      </c>
      <c r="CF3" s="4">
        <f t="shared" ref="CF3:CF16" si="10">AC3</f>
        <v>200</v>
      </c>
      <c r="CG3" s="22">
        <f t="shared" ref="CG3:CG33" si="11">AI3</f>
        <v>330</v>
      </c>
      <c r="CH3" s="4">
        <v>0</v>
      </c>
      <c r="CI3" s="13">
        <v>0</v>
      </c>
      <c r="CJ3" s="4">
        <f>V3</f>
        <v>100</v>
      </c>
      <c r="CK3" s="37">
        <f>+CB3+CC3+CD3+CE3+CF3+CG3+CH3+CI3+CJ3</f>
        <v>3034</v>
      </c>
      <c r="CL3" s="4">
        <v>3000</v>
      </c>
      <c r="CM3" s="173">
        <v>1496</v>
      </c>
      <c r="CN3" s="173">
        <f>CL3</f>
        <v>3000</v>
      </c>
      <c r="CO3" s="173">
        <f>+CM3+CN3</f>
        <v>4496</v>
      </c>
      <c r="CP3" s="174">
        <f>CK3</f>
        <v>3034</v>
      </c>
      <c r="CQ3" s="174">
        <f>CO3-CP3</f>
        <v>1462</v>
      </c>
      <c r="CR3" s="91">
        <v>2869</v>
      </c>
      <c r="CS3" s="183">
        <f t="shared" ref="CS3:CS33" si="12">CF3</f>
        <v>200</v>
      </c>
      <c r="CT3" s="184">
        <f t="shared" ref="CT3:CT33" si="13">CG3</f>
        <v>330</v>
      </c>
      <c r="CU3" s="183">
        <f>+AS3+AT3</f>
        <v>230</v>
      </c>
      <c r="CV3" s="185">
        <f>BL3</f>
        <v>135</v>
      </c>
      <c r="CW3" s="185">
        <f t="shared" ref="CW3:CW33" si="14">CA3</f>
        <v>0</v>
      </c>
      <c r="CX3" s="185">
        <f t="shared" ref="CX3:CX14" si="15">V3</f>
        <v>100</v>
      </c>
      <c r="CY3" s="185">
        <f t="shared" ref="CY3:CY33" si="16">CD3</f>
        <v>414</v>
      </c>
      <c r="CZ3" s="184">
        <f>CR3-CS3-CT3-CU3-CV3-CW3-CY3-CX3</f>
        <v>1460</v>
      </c>
      <c r="DA3" s="315">
        <f>CX3+CY3+CZ3</f>
        <v>1974</v>
      </c>
      <c r="DB3" s="70">
        <v>8348</v>
      </c>
      <c r="DC3" s="175">
        <f t="shared" ref="DC3:DC32" si="17">+CY3+CZ3</f>
        <v>1874</v>
      </c>
      <c r="DD3" s="177">
        <f t="shared" ref="DD3:DD33" si="18">+CU3+CV3+CW3</f>
        <v>365</v>
      </c>
      <c r="DE3" s="32">
        <v>46082</v>
      </c>
      <c r="DF3" s="39">
        <f>+D3+E3</f>
        <v>194</v>
      </c>
      <c r="DG3" s="39">
        <f>DF3*30</f>
        <v>5820</v>
      </c>
      <c r="DH3" s="39">
        <f>B3+C3</f>
        <v>31</v>
      </c>
      <c r="DI3" s="39">
        <f>DH3*30</f>
        <v>930</v>
      </c>
      <c r="DJ3" s="39">
        <f>+DF3+DH3</f>
        <v>225</v>
      </c>
      <c r="DK3" s="39">
        <f>DJ3*30</f>
        <v>6750</v>
      </c>
    </row>
    <row r="4" spans="1:142" ht="15.6">
      <c r="A4" s="32">
        <f t="shared" ref="A4:A33" si="19">+A3+1</f>
        <v>46083</v>
      </c>
      <c r="B4" s="34">
        <v>40</v>
      </c>
      <c r="C4" s="4">
        <v>2</v>
      </c>
      <c r="D4" s="4">
        <v>109</v>
      </c>
      <c r="E4" s="4"/>
      <c r="F4" s="4">
        <f t="shared" ref="F4:F33" si="20">+B4+C4+D4+E4</f>
        <v>151</v>
      </c>
      <c r="G4" s="4">
        <f t="shared" si="0"/>
        <v>1200</v>
      </c>
      <c r="H4" s="4">
        <f t="shared" si="1"/>
        <v>60</v>
      </c>
      <c r="I4" s="4">
        <f t="shared" si="2"/>
        <v>3270</v>
      </c>
      <c r="J4" s="4">
        <f t="shared" si="3"/>
        <v>0</v>
      </c>
      <c r="K4" s="30">
        <f t="shared" si="4"/>
        <v>4530</v>
      </c>
      <c r="L4" s="61">
        <f t="shared" si="5"/>
        <v>1678</v>
      </c>
      <c r="M4" s="205">
        <v>4</v>
      </c>
      <c r="N4" s="178">
        <v>19.7</v>
      </c>
      <c r="O4" s="178">
        <v>19</v>
      </c>
      <c r="P4" s="178">
        <v>101.45</v>
      </c>
      <c r="Q4" s="178">
        <v>44.95</v>
      </c>
      <c r="R4" s="178">
        <v>8.75</v>
      </c>
      <c r="S4" s="292">
        <v>9.1999999999999993</v>
      </c>
      <c r="T4" s="292">
        <v>77</v>
      </c>
      <c r="U4" s="292">
        <v>32.700000000000003</v>
      </c>
      <c r="V4" s="292">
        <v>843</v>
      </c>
      <c r="W4" s="178">
        <f t="shared" ref="W4:W17" si="21">P4-Q4-R4</f>
        <v>47.75</v>
      </c>
      <c r="X4" s="200">
        <v>0</v>
      </c>
      <c r="Y4" s="200">
        <v>2.6</v>
      </c>
      <c r="Z4" s="200">
        <v>3</v>
      </c>
      <c r="AA4" s="200">
        <v>7</v>
      </c>
      <c r="AB4" s="200">
        <v>213.98</v>
      </c>
      <c r="AC4" s="200">
        <v>100</v>
      </c>
      <c r="AD4" s="178">
        <v>10.9</v>
      </c>
      <c r="AE4" s="178">
        <v>0</v>
      </c>
      <c r="AF4" s="178">
        <v>8</v>
      </c>
      <c r="AG4" s="178">
        <v>111</v>
      </c>
      <c r="AH4" s="178">
        <f t="shared" ref="AH4:AH33" si="22">AG4*29</f>
        <v>3219</v>
      </c>
      <c r="AI4" s="178">
        <v>570</v>
      </c>
      <c r="AJ4" s="200">
        <v>3</v>
      </c>
      <c r="AK4" s="200">
        <v>14.4</v>
      </c>
      <c r="AL4" s="200">
        <v>61</v>
      </c>
      <c r="AM4" s="200">
        <v>224</v>
      </c>
      <c r="AN4" s="275">
        <v>0</v>
      </c>
      <c r="AO4" s="275">
        <v>224</v>
      </c>
      <c r="AP4" s="275">
        <f t="shared" ref="AP4:AP33" si="23">AM4-AN4-AO4</f>
        <v>0</v>
      </c>
      <c r="AQ4" s="275">
        <v>738</v>
      </c>
      <c r="AR4" s="62">
        <v>2</v>
      </c>
      <c r="AS4" s="62">
        <v>254</v>
      </c>
      <c r="AT4" s="62">
        <v>296</v>
      </c>
      <c r="AU4" s="60">
        <v>8.07</v>
      </c>
      <c r="AV4" s="62">
        <v>17.3</v>
      </c>
      <c r="AW4" s="62">
        <v>10.29</v>
      </c>
      <c r="AX4" s="62">
        <v>10</v>
      </c>
      <c r="AY4" s="62">
        <v>11</v>
      </c>
      <c r="AZ4" s="94">
        <v>1500</v>
      </c>
      <c r="BA4" s="94">
        <v>750</v>
      </c>
      <c r="BB4" s="95">
        <f t="shared" ref="BB4:BB33" si="24">AZ4-BA4</f>
        <v>750</v>
      </c>
      <c r="BC4" s="124">
        <v>8</v>
      </c>
      <c r="BD4" s="124">
        <v>7</v>
      </c>
      <c r="BE4" s="124">
        <v>200</v>
      </c>
      <c r="BF4" s="124">
        <v>100</v>
      </c>
      <c r="BG4" s="124">
        <v>100</v>
      </c>
      <c r="BH4" s="124">
        <v>1</v>
      </c>
      <c r="BI4" s="124">
        <v>8.1</v>
      </c>
      <c r="BJ4" s="124">
        <v>82</v>
      </c>
      <c r="BK4" s="124">
        <v>350</v>
      </c>
      <c r="BL4" s="124">
        <f t="shared" ref="BL4:BL33" si="25">BJ4+BK4</f>
        <v>432</v>
      </c>
      <c r="BM4" s="181">
        <f t="shared" si="6"/>
        <v>18.29</v>
      </c>
      <c r="BN4" s="181">
        <f t="shared" si="7"/>
        <v>18</v>
      </c>
      <c r="BO4" s="181">
        <f t="shared" si="8"/>
        <v>18</v>
      </c>
      <c r="BP4" s="181">
        <f t="shared" si="9"/>
        <v>1700</v>
      </c>
      <c r="BQ4" s="181">
        <f t="shared" ref="BQ4:BQ33" si="26">BI4+AV4</f>
        <v>25.4</v>
      </c>
      <c r="BR4" s="181">
        <f t="shared" ref="BR4:BR33" si="27">+BJ4+AS4</f>
        <v>336</v>
      </c>
      <c r="BS4" s="181">
        <f t="shared" ref="BS4:BS33" si="28">+BK4+AT4</f>
        <v>646</v>
      </c>
      <c r="BT4" s="181">
        <f t="shared" ref="BT4:BT33" si="29">BR4+BS4</f>
        <v>982</v>
      </c>
      <c r="BU4" s="86"/>
      <c r="BV4" s="86"/>
      <c r="BW4" s="86"/>
      <c r="BX4" s="86"/>
      <c r="BY4" s="86"/>
      <c r="BZ4" s="86"/>
      <c r="CA4" s="86">
        <f t="shared" ref="CA4:CA33" si="30">+BY4+BZ4</f>
        <v>0</v>
      </c>
      <c r="CB4" s="4">
        <f>698-90</f>
        <v>608</v>
      </c>
      <c r="CC4" s="4">
        <f>390+117-55</f>
        <v>452</v>
      </c>
      <c r="CD4" s="55">
        <f t="shared" ref="CD4:CD33" si="31">AQ4</f>
        <v>738</v>
      </c>
      <c r="CE4" s="4">
        <v>110</v>
      </c>
      <c r="CF4" s="4">
        <f t="shared" si="10"/>
        <v>100</v>
      </c>
      <c r="CG4" s="22">
        <f t="shared" si="11"/>
        <v>570</v>
      </c>
      <c r="CH4" s="4">
        <v>102</v>
      </c>
      <c r="CI4" s="4">
        <v>0</v>
      </c>
      <c r="CJ4" s="4">
        <f t="shared" ref="CJ4:CJ33" si="32">V4</f>
        <v>843</v>
      </c>
      <c r="CK4" s="37">
        <f t="shared" ref="CK4:CK32" si="33">+CB4+CC4+CD4+CE4+CF4+CG4+CH4+CI4+CJ4</f>
        <v>3523</v>
      </c>
      <c r="CL4" s="4">
        <v>3000</v>
      </c>
      <c r="CM4" s="174">
        <f>CQ3</f>
        <v>1462</v>
      </c>
      <c r="CN4" s="173">
        <f t="shared" ref="CN4:CN33" si="34">CL4</f>
        <v>3000</v>
      </c>
      <c r="CO4" s="173">
        <f t="shared" ref="CO4:CO33" si="35">+CM4+CN4</f>
        <v>4462</v>
      </c>
      <c r="CP4" s="174">
        <f t="shared" ref="CP4:CP33" si="36">CK4</f>
        <v>3523</v>
      </c>
      <c r="CQ4" s="174">
        <f t="shared" ref="CQ4:CQ33" si="37">CO4-CP4</f>
        <v>939</v>
      </c>
      <c r="CR4" s="91">
        <v>4429</v>
      </c>
      <c r="CS4" s="183">
        <f t="shared" si="12"/>
        <v>100</v>
      </c>
      <c r="CT4" s="184">
        <f t="shared" si="13"/>
        <v>570</v>
      </c>
      <c r="CU4" s="183">
        <f t="shared" ref="CU4:CU33" si="38">+AS4+AT4</f>
        <v>550</v>
      </c>
      <c r="CV4" s="185">
        <f t="shared" ref="CV4:CV33" si="39">BL4</f>
        <v>432</v>
      </c>
      <c r="CW4" s="185">
        <f t="shared" si="14"/>
        <v>0</v>
      </c>
      <c r="CX4" s="185">
        <f t="shared" si="15"/>
        <v>843</v>
      </c>
      <c r="CY4" s="185">
        <f t="shared" si="16"/>
        <v>738</v>
      </c>
      <c r="CZ4" s="184">
        <f t="shared" ref="CZ4:CZ14" si="40">CR4-CS4-CT4-CU4-CV4-CW4-CY4-CX4</f>
        <v>1196</v>
      </c>
      <c r="DA4" s="315">
        <f t="shared" ref="DA4:DA33" si="41">CX4+CY4+CZ4</f>
        <v>2777</v>
      </c>
      <c r="DC4" s="175">
        <f t="shared" si="17"/>
        <v>1934</v>
      </c>
      <c r="DD4" s="177">
        <f t="shared" si="18"/>
        <v>982</v>
      </c>
      <c r="DE4" s="32">
        <f t="shared" ref="DE4:DE33" si="42">+DE3+1</f>
        <v>46083</v>
      </c>
      <c r="DF4" s="39">
        <f t="shared" ref="DF4:DF33" si="43">+D4+E4</f>
        <v>109</v>
      </c>
      <c r="DG4" s="39">
        <f t="shared" ref="DG4:DG33" si="44">DF4*30</f>
        <v>3270</v>
      </c>
      <c r="DH4" s="39">
        <f t="shared" ref="DH4:DH33" si="45">B4+C4</f>
        <v>42</v>
      </c>
      <c r="DI4" s="39">
        <f t="shared" ref="DI4:DI33" si="46">DH4*30</f>
        <v>1260</v>
      </c>
      <c r="DJ4" s="39">
        <f t="shared" ref="DJ4:DJ33" si="47">+DF4+DH4</f>
        <v>151</v>
      </c>
      <c r="DK4" s="39">
        <f t="shared" ref="DK4:DK33" si="48">DJ4*30</f>
        <v>4530</v>
      </c>
    </row>
    <row r="5" spans="1:142" ht="15.6">
      <c r="A5" s="32">
        <f t="shared" si="19"/>
        <v>46084</v>
      </c>
      <c r="B5" s="34">
        <v>65</v>
      </c>
      <c r="C5" s="4">
        <v>32</v>
      </c>
      <c r="D5" s="4">
        <v>99</v>
      </c>
      <c r="E5" s="4"/>
      <c r="F5" s="4">
        <f t="shared" si="20"/>
        <v>196</v>
      </c>
      <c r="G5" s="4">
        <f t="shared" si="0"/>
        <v>1950</v>
      </c>
      <c r="H5" s="4">
        <f t="shared" si="1"/>
        <v>960</v>
      </c>
      <c r="I5" s="4">
        <f t="shared" si="2"/>
        <v>2970</v>
      </c>
      <c r="J5" s="4">
        <f t="shared" si="3"/>
        <v>0</v>
      </c>
      <c r="K5" s="30">
        <f t="shared" si="4"/>
        <v>5880</v>
      </c>
      <c r="L5" s="61">
        <f t="shared" si="5"/>
        <v>2178</v>
      </c>
      <c r="M5" s="205">
        <v>3</v>
      </c>
      <c r="N5" s="178">
        <v>24</v>
      </c>
      <c r="O5" s="178">
        <v>24</v>
      </c>
      <c r="P5" s="178">
        <v>142.1</v>
      </c>
      <c r="Q5" s="178">
        <v>25.95</v>
      </c>
      <c r="R5" s="178">
        <v>8.15</v>
      </c>
      <c r="S5" s="292">
        <v>9.5</v>
      </c>
      <c r="T5" s="292">
        <v>67</v>
      </c>
      <c r="U5" s="292">
        <v>31.3</v>
      </c>
      <c r="V5" s="292">
        <v>376</v>
      </c>
      <c r="W5" s="178">
        <f t="shared" si="21"/>
        <v>107.99999999999999</v>
      </c>
      <c r="X5" s="200">
        <v>0</v>
      </c>
      <c r="Y5" s="200">
        <v>3.4</v>
      </c>
      <c r="Z5" s="200">
        <v>3</v>
      </c>
      <c r="AA5" s="200">
        <v>22</v>
      </c>
      <c r="AB5" s="200">
        <v>686.42</v>
      </c>
      <c r="AC5" s="200">
        <v>95</v>
      </c>
      <c r="AD5" s="178">
        <v>7</v>
      </c>
      <c r="AE5" s="178">
        <v>1</v>
      </c>
      <c r="AF5" s="178">
        <v>7</v>
      </c>
      <c r="AG5" s="178">
        <v>66</v>
      </c>
      <c r="AH5" s="178">
        <f t="shared" si="22"/>
        <v>1914</v>
      </c>
      <c r="AI5" s="178">
        <v>355</v>
      </c>
      <c r="AJ5" s="200">
        <v>3</v>
      </c>
      <c r="AK5" s="200">
        <v>14</v>
      </c>
      <c r="AL5" s="200">
        <v>51</v>
      </c>
      <c r="AM5" s="200">
        <v>274.60000000000002</v>
      </c>
      <c r="AN5" s="275">
        <v>0</v>
      </c>
      <c r="AO5" s="275">
        <v>274.60000000000002</v>
      </c>
      <c r="AP5" s="275">
        <f t="shared" si="23"/>
        <v>0</v>
      </c>
      <c r="AQ5" s="275">
        <v>575</v>
      </c>
      <c r="AR5" s="62">
        <v>1</v>
      </c>
      <c r="AS5" s="62">
        <v>199</v>
      </c>
      <c r="AT5" s="62">
        <v>60</v>
      </c>
      <c r="AU5" s="60">
        <v>2.13</v>
      </c>
      <c r="AV5" s="62">
        <v>13.3</v>
      </c>
      <c r="AW5" s="62">
        <v>9.57</v>
      </c>
      <c r="AX5" s="62">
        <v>11</v>
      </c>
      <c r="AY5" s="62">
        <v>11</v>
      </c>
      <c r="AZ5" s="94">
        <v>1400</v>
      </c>
      <c r="BA5" s="94">
        <v>700</v>
      </c>
      <c r="BB5" s="95">
        <f t="shared" si="24"/>
        <v>700</v>
      </c>
      <c r="BC5" s="124">
        <v>6</v>
      </c>
      <c r="BD5" s="124">
        <v>4.9000000000000004</v>
      </c>
      <c r="BE5" s="124">
        <v>450</v>
      </c>
      <c r="BF5" s="124">
        <v>200</v>
      </c>
      <c r="BG5" s="124">
        <v>250</v>
      </c>
      <c r="BH5" s="124">
        <v>2</v>
      </c>
      <c r="BI5" s="124">
        <v>6.2</v>
      </c>
      <c r="BJ5" s="124">
        <v>44</v>
      </c>
      <c r="BK5" s="124">
        <v>252</v>
      </c>
      <c r="BL5" s="124">
        <f t="shared" si="25"/>
        <v>296</v>
      </c>
      <c r="BM5" s="181">
        <f t="shared" si="6"/>
        <v>15.57</v>
      </c>
      <c r="BN5" s="181">
        <f t="shared" si="7"/>
        <v>17</v>
      </c>
      <c r="BO5" s="181">
        <f t="shared" si="8"/>
        <v>15.9</v>
      </c>
      <c r="BP5" s="181">
        <f t="shared" si="9"/>
        <v>1850</v>
      </c>
      <c r="BQ5" s="181">
        <f>BI5+AV5</f>
        <v>19.5</v>
      </c>
      <c r="BR5" s="181">
        <f t="shared" si="27"/>
        <v>243</v>
      </c>
      <c r="BS5" s="181">
        <f t="shared" si="28"/>
        <v>312</v>
      </c>
      <c r="BT5" s="181">
        <f t="shared" si="29"/>
        <v>555</v>
      </c>
      <c r="BU5" s="86"/>
      <c r="BV5" s="86"/>
      <c r="BW5" s="86"/>
      <c r="BX5" s="86"/>
      <c r="BY5" s="86"/>
      <c r="BZ5" s="86"/>
      <c r="CA5" s="86">
        <f t="shared" si="30"/>
        <v>0</v>
      </c>
      <c r="CB5" s="4">
        <f>1820+235-450</f>
        <v>1605</v>
      </c>
      <c r="CC5" s="4">
        <v>614</v>
      </c>
      <c r="CD5" s="55">
        <f t="shared" si="31"/>
        <v>575</v>
      </c>
      <c r="CE5" s="4">
        <v>105</v>
      </c>
      <c r="CF5" s="4">
        <f t="shared" si="10"/>
        <v>95</v>
      </c>
      <c r="CG5" s="22">
        <f t="shared" si="11"/>
        <v>355</v>
      </c>
      <c r="CH5" s="4">
        <v>400</v>
      </c>
      <c r="CI5" s="4">
        <v>0</v>
      </c>
      <c r="CJ5" s="4">
        <f t="shared" si="32"/>
        <v>376</v>
      </c>
      <c r="CK5" s="37">
        <f t="shared" si="33"/>
        <v>4125</v>
      </c>
      <c r="CL5" s="4">
        <v>3500</v>
      </c>
      <c r="CM5" s="174">
        <f t="shared" ref="CM5:CM33" si="49">CQ4</f>
        <v>939</v>
      </c>
      <c r="CN5" s="173">
        <f t="shared" si="34"/>
        <v>3500</v>
      </c>
      <c r="CO5" s="173">
        <f t="shared" si="35"/>
        <v>4439</v>
      </c>
      <c r="CP5" s="174">
        <f t="shared" si="36"/>
        <v>4125</v>
      </c>
      <c r="CQ5" s="174">
        <f t="shared" si="37"/>
        <v>314</v>
      </c>
      <c r="CR5" s="91">
        <v>3619</v>
      </c>
      <c r="CS5" s="183">
        <f t="shared" si="12"/>
        <v>95</v>
      </c>
      <c r="CT5" s="184">
        <f t="shared" si="13"/>
        <v>355</v>
      </c>
      <c r="CU5" s="183">
        <f t="shared" si="38"/>
        <v>259</v>
      </c>
      <c r="CV5" s="185">
        <f t="shared" si="39"/>
        <v>296</v>
      </c>
      <c r="CW5" s="185">
        <f t="shared" si="14"/>
        <v>0</v>
      </c>
      <c r="CX5" s="185">
        <f t="shared" si="15"/>
        <v>376</v>
      </c>
      <c r="CY5" s="185">
        <f t="shared" si="16"/>
        <v>575</v>
      </c>
      <c r="CZ5" s="184">
        <f t="shared" si="40"/>
        <v>1663</v>
      </c>
      <c r="DA5" s="315">
        <f t="shared" si="41"/>
        <v>2614</v>
      </c>
      <c r="DB5" s="71"/>
      <c r="DC5" s="175">
        <f t="shared" si="17"/>
        <v>2238</v>
      </c>
      <c r="DD5" s="177">
        <f t="shared" si="18"/>
        <v>555</v>
      </c>
      <c r="DE5" s="32">
        <f t="shared" si="42"/>
        <v>46084</v>
      </c>
      <c r="DF5" s="39">
        <f t="shared" si="43"/>
        <v>99</v>
      </c>
      <c r="DG5" s="39">
        <f t="shared" si="44"/>
        <v>2970</v>
      </c>
      <c r="DH5" s="39">
        <f t="shared" si="45"/>
        <v>97</v>
      </c>
      <c r="DI5" s="39">
        <f t="shared" si="46"/>
        <v>2910</v>
      </c>
      <c r="DJ5" s="39">
        <f t="shared" si="47"/>
        <v>196</v>
      </c>
      <c r="DK5" s="39">
        <f t="shared" si="48"/>
        <v>5880</v>
      </c>
    </row>
    <row r="6" spans="1:142" ht="15.6">
      <c r="A6" s="32">
        <f t="shared" si="19"/>
        <v>46085</v>
      </c>
      <c r="B6" s="34">
        <v>15</v>
      </c>
      <c r="C6" s="30">
        <v>30</v>
      </c>
      <c r="D6" s="4">
        <v>54</v>
      </c>
      <c r="E6" s="4"/>
      <c r="F6" s="4">
        <f t="shared" si="20"/>
        <v>99</v>
      </c>
      <c r="G6" s="4">
        <f t="shared" si="0"/>
        <v>450</v>
      </c>
      <c r="H6" s="4">
        <f t="shared" si="1"/>
        <v>900</v>
      </c>
      <c r="I6" s="4">
        <f t="shared" si="2"/>
        <v>1620</v>
      </c>
      <c r="J6" s="4">
        <f t="shared" si="3"/>
        <v>0</v>
      </c>
      <c r="K6" s="30">
        <f t="shared" si="4"/>
        <v>2970</v>
      </c>
      <c r="L6" s="61">
        <f t="shared" si="5"/>
        <v>1100</v>
      </c>
      <c r="M6" s="206">
        <v>3</v>
      </c>
      <c r="N6" s="178">
        <v>12.5</v>
      </c>
      <c r="O6" s="178">
        <v>23</v>
      </c>
      <c r="P6" s="178">
        <v>130.15</v>
      </c>
      <c r="Q6" s="178">
        <v>31.1</v>
      </c>
      <c r="R6" s="178">
        <v>27.65</v>
      </c>
      <c r="S6" s="292">
        <v>9.4</v>
      </c>
      <c r="T6" s="292">
        <v>91</v>
      </c>
      <c r="U6" s="292">
        <v>37.4</v>
      </c>
      <c r="V6" s="292">
        <v>636</v>
      </c>
      <c r="W6" s="178">
        <f t="shared" si="21"/>
        <v>71.400000000000006</v>
      </c>
      <c r="X6" s="200">
        <v>4.3</v>
      </c>
      <c r="Y6" s="200">
        <v>7.2</v>
      </c>
      <c r="Z6" s="200">
        <v>7</v>
      </c>
      <c r="AA6" s="200">
        <v>84</v>
      </c>
      <c r="AB6" s="200">
        <v>2592.2199999999998</v>
      </c>
      <c r="AC6" s="200">
        <v>345</v>
      </c>
      <c r="AD6" s="178">
        <v>7.4</v>
      </c>
      <c r="AE6" s="178">
        <v>0</v>
      </c>
      <c r="AF6" s="178">
        <v>11</v>
      </c>
      <c r="AG6" s="178">
        <v>97</v>
      </c>
      <c r="AH6" s="178">
        <f t="shared" si="22"/>
        <v>2813</v>
      </c>
      <c r="AI6" s="178">
        <v>190</v>
      </c>
      <c r="AJ6" s="200">
        <v>3</v>
      </c>
      <c r="AK6" s="200">
        <v>13.4</v>
      </c>
      <c r="AL6" s="200">
        <v>48</v>
      </c>
      <c r="AM6" s="200">
        <v>230.4</v>
      </c>
      <c r="AN6" s="275">
        <v>0</v>
      </c>
      <c r="AO6" s="275">
        <v>230.4</v>
      </c>
      <c r="AP6" s="275">
        <f t="shared" si="23"/>
        <v>0</v>
      </c>
      <c r="AQ6" s="275">
        <v>515</v>
      </c>
      <c r="AR6" s="62">
        <v>5</v>
      </c>
      <c r="AS6" s="62">
        <v>723</v>
      </c>
      <c r="AT6" s="62">
        <v>103</v>
      </c>
      <c r="AU6" s="60">
        <v>1.92</v>
      </c>
      <c r="AV6" s="62">
        <v>33.200000000000003</v>
      </c>
      <c r="AW6" s="62">
        <v>10.91</v>
      </c>
      <c r="AX6" s="62">
        <v>12</v>
      </c>
      <c r="AY6" s="62">
        <v>12</v>
      </c>
      <c r="AZ6" s="94">
        <v>1600</v>
      </c>
      <c r="BA6" s="94">
        <v>800</v>
      </c>
      <c r="BB6" s="95">
        <f t="shared" si="24"/>
        <v>800</v>
      </c>
      <c r="BC6" s="124">
        <v>7</v>
      </c>
      <c r="BD6" s="124">
        <v>3.8</v>
      </c>
      <c r="BE6" s="124">
        <v>200</v>
      </c>
      <c r="BF6" s="124">
        <v>100</v>
      </c>
      <c r="BG6" s="124">
        <v>100</v>
      </c>
      <c r="BH6" s="124">
        <v>1</v>
      </c>
      <c r="BI6" s="124">
        <v>2.9</v>
      </c>
      <c r="BJ6" s="124">
        <v>20</v>
      </c>
      <c r="BK6" s="124">
        <v>0</v>
      </c>
      <c r="BL6" s="124">
        <f t="shared" si="25"/>
        <v>20</v>
      </c>
      <c r="BM6" s="181">
        <f t="shared" si="6"/>
        <v>17.91</v>
      </c>
      <c r="BN6" s="181">
        <f t="shared" si="7"/>
        <v>19</v>
      </c>
      <c r="BO6" s="181">
        <f t="shared" si="8"/>
        <v>15.8</v>
      </c>
      <c r="BP6" s="181">
        <f t="shared" si="9"/>
        <v>1800</v>
      </c>
      <c r="BQ6" s="181">
        <f t="shared" si="26"/>
        <v>36.1</v>
      </c>
      <c r="BR6" s="181">
        <f t="shared" si="27"/>
        <v>743</v>
      </c>
      <c r="BS6" s="181">
        <f t="shared" si="28"/>
        <v>103</v>
      </c>
      <c r="BT6" s="181">
        <f t="shared" si="29"/>
        <v>846</v>
      </c>
      <c r="BU6" s="86"/>
      <c r="BV6" s="86"/>
      <c r="BW6" s="86"/>
      <c r="BX6" s="86"/>
      <c r="BY6" s="86"/>
      <c r="BZ6" s="86"/>
      <c r="CA6" s="86">
        <f t="shared" si="30"/>
        <v>0</v>
      </c>
      <c r="CB6" s="4">
        <f>1170-5</f>
        <v>1165</v>
      </c>
      <c r="CC6" s="4">
        <f>807-180</f>
        <v>627</v>
      </c>
      <c r="CD6" s="55">
        <f t="shared" si="31"/>
        <v>515</v>
      </c>
      <c r="CE6" s="4">
        <v>283</v>
      </c>
      <c r="CF6" s="4">
        <f t="shared" si="10"/>
        <v>345</v>
      </c>
      <c r="CG6" s="22">
        <f t="shared" si="11"/>
        <v>190</v>
      </c>
      <c r="CH6" s="4">
        <v>0</v>
      </c>
      <c r="CI6" s="4">
        <v>0</v>
      </c>
      <c r="CJ6" s="4">
        <f t="shared" si="32"/>
        <v>636</v>
      </c>
      <c r="CK6" s="37">
        <f t="shared" si="33"/>
        <v>3761</v>
      </c>
      <c r="CL6" s="4">
        <v>4000</v>
      </c>
      <c r="CM6" s="174">
        <f t="shared" si="49"/>
        <v>314</v>
      </c>
      <c r="CN6" s="173">
        <f t="shared" si="34"/>
        <v>4000</v>
      </c>
      <c r="CO6" s="173">
        <f t="shared" si="35"/>
        <v>4314</v>
      </c>
      <c r="CP6" s="174">
        <f t="shared" si="36"/>
        <v>3761</v>
      </c>
      <c r="CQ6" s="174">
        <f t="shared" si="37"/>
        <v>553</v>
      </c>
      <c r="CR6" s="91">
        <v>3596</v>
      </c>
      <c r="CS6" s="183">
        <f t="shared" si="12"/>
        <v>345</v>
      </c>
      <c r="CT6" s="184">
        <f t="shared" si="13"/>
        <v>190</v>
      </c>
      <c r="CU6" s="183">
        <f t="shared" si="38"/>
        <v>826</v>
      </c>
      <c r="CV6" s="185">
        <f t="shared" si="39"/>
        <v>20</v>
      </c>
      <c r="CW6" s="185">
        <f t="shared" si="14"/>
        <v>0</v>
      </c>
      <c r="CX6" s="185">
        <f t="shared" si="15"/>
        <v>636</v>
      </c>
      <c r="CY6" s="185">
        <f t="shared" si="16"/>
        <v>515</v>
      </c>
      <c r="CZ6" s="184">
        <f t="shared" si="40"/>
        <v>1064</v>
      </c>
      <c r="DA6" s="315">
        <f t="shared" si="41"/>
        <v>2215</v>
      </c>
      <c r="DC6" s="175">
        <f t="shared" si="17"/>
        <v>1579</v>
      </c>
      <c r="DD6" s="177">
        <f t="shared" si="18"/>
        <v>846</v>
      </c>
      <c r="DE6" s="32">
        <f t="shared" si="42"/>
        <v>46085</v>
      </c>
      <c r="DF6" s="39">
        <f t="shared" si="43"/>
        <v>54</v>
      </c>
      <c r="DG6" s="39">
        <f t="shared" si="44"/>
        <v>1620</v>
      </c>
      <c r="DH6" s="39">
        <f t="shared" si="45"/>
        <v>45</v>
      </c>
      <c r="DI6" s="39">
        <f t="shared" si="46"/>
        <v>1350</v>
      </c>
      <c r="DJ6" s="39">
        <f t="shared" si="47"/>
        <v>99</v>
      </c>
      <c r="DK6" s="39">
        <f t="shared" si="48"/>
        <v>2970</v>
      </c>
    </row>
    <row r="7" spans="1:142" ht="15.6">
      <c r="A7" s="32">
        <f t="shared" si="19"/>
        <v>46086</v>
      </c>
      <c r="B7" s="34"/>
      <c r="C7" s="4"/>
      <c r="D7" s="12"/>
      <c r="E7" s="4"/>
      <c r="F7" s="4">
        <f t="shared" si="20"/>
        <v>0</v>
      </c>
      <c r="G7" s="4">
        <f t="shared" si="0"/>
        <v>0</v>
      </c>
      <c r="H7" s="4">
        <f t="shared" si="1"/>
        <v>0</v>
      </c>
      <c r="I7" s="4">
        <f t="shared" si="2"/>
        <v>0</v>
      </c>
      <c r="J7" s="4">
        <f t="shared" si="3"/>
        <v>0</v>
      </c>
      <c r="K7" s="30">
        <f t="shared" si="4"/>
        <v>0</v>
      </c>
      <c r="L7" s="61">
        <f t="shared" si="5"/>
        <v>0</v>
      </c>
      <c r="M7" s="206"/>
      <c r="N7" s="178"/>
      <c r="O7" s="178"/>
      <c r="P7" s="178"/>
      <c r="Q7" s="178">
        <v>9.1999999999999993</v>
      </c>
      <c r="R7" s="178">
        <v>0</v>
      </c>
      <c r="S7" s="292"/>
      <c r="T7" s="292"/>
      <c r="U7" s="292"/>
      <c r="V7" s="292"/>
      <c r="W7" s="178">
        <v>9.1999999999999993</v>
      </c>
      <c r="X7" s="200"/>
      <c r="Y7" s="200"/>
      <c r="Z7" s="200"/>
      <c r="AA7" s="200"/>
      <c r="AB7" s="200"/>
      <c r="AC7" s="200"/>
      <c r="AD7" s="178">
        <v>0</v>
      </c>
      <c r="AE7" s="178">
        <v>8.6</v>
      </c>
      <c r="AF7" s="178">
        <v>2</v>
      </c>
      <c r="AG7" s="178">
        <v>29</v>
      </c>
      <c r="AH7" s="178">
        <f t="shared" si="22"/>
        <v>841</v>
      </c>
      <c r="AI7" s="178">
        <v>136</v>
      </c>
      <c r="AJ7" s="200">
        <v>0</v>
      </c>
      <c r="AK7" s="200">
        <v>0</v>
      </c>
      <c r="AL7" s="200">
        <v>0</v>
      </c>
      <c r="AM7" s="200">
        <v>0</v>
      </c>
      <c r="AN7" s="275">
        <v>0</v>
      </c>
      <c r="AO7" s="275">
        <v>0</v>
      </c>
      <c r="AP7" s="275">
        <f t="shared" si="23"/>
        <v>0</v>
      </c>
      <c r="AQ7" s="275">
        <v>0</v>
      </c>
      <c r="AR7" s="62">
        <v>3</v>
      </c>
      <c r="AS7" s="62">
        <v>245</v>
      </c>
      <c r="AT7" s="62">
        <v>141</v>
      </c>
      <c r="AU7" s="60">
        <v>4.09</v>
      </c>
      <c r="AV7" s="62">
        <v>15.8</v>
      </c>
      <c r="AW7" s="62">
        <v>6</v>
      </c>
      <c r="AX7" s="62">
        <v>7</v>
      </c>
      <c r="AY7" s="62">
        <v>7</v>
      </c>
      <c r="AZ7" s="94">
        <v>900</v>
      </c>
      <c r="BA7" s="94">
        <v>360</v>
      </c>
      <c r="BB7" s="95">
        <f t="shared" si="24"/>
        <v>540</v>
      </c>
      <c r="BC7" s="124">
        <v>4</v>
      </c>
      <c r="BD7" s="124">
        <v>4</v>
      </c>
      <c r="BE7" s="124">
        <v>240</v>
      </c>
      <c r="BF7" s="124">
        <v>150</v>
      </c>
      <c r="BG7" s="124">
        <v>90</v>
      </c>
      <c r="BH7" s="124">
        <v>1</v>
      </c>
      <c r="BI7" s="124">
        <v>4.0999999999999996</v>
      </c>
      <c r="BJ7" s="124">
        <v>70</v>
      </c>
      <c r="BK7" s="124">
        <v>123</v>
      </c>
      <c r="BL7" s="124">
        <f t="shared" si="25"/>
        <v>193</v>
      </c>
      <c r="BM7" s="181">
        <f t="shared" si="6"/>
        <v>10</v>
      </c>
      <c r="BN7" s="181">
        <f t="shared" si="7"/>
        <v>11</v>
      </c>
      <c r="BO7" s="181">
        <f t="shared" si="8"/>
        <v>11</v>
      </c>
      <c r="BP7" s="181">
        <f t="shared" si="9"/>
        <v>1140</v>
      </c>
      <c r="BQ7" s="181">
        <f t="shared" si="26"/>
        <v>19.899999999999999</v>
      </c>
      <c r="BR7" s="181">
        <f t="shared" si="27"/>
        <v>315</v>
      </c>
      <c r="BS7" s="181">
        <f t="shared" si="28"/>
        <v>264</v>
      </c>
      <c r="BT7" s="181">
        <f t="shared" si="29"/>
        <v>579</v>
      </c>
      <c r="BU7" s="86"/>
      <c r="BV7" s="86"/>
      <c r="BW7" s="86"/>
      <c r="BX7" s="86"/>
      <c r="BY7" s="86"/>
      <c r="BZ7" s="86"/>
      <c r="CA7" s="86">
        <f t="shared" si="30"/>
        <v>0</v>
      </c>
      <c r="CB7" s="4">
        <v>0</v>
      </c>
      <c r="CC7" s="22">
        <f>326-136</f>
        <v>190</v>
      </c>
      <c r="CD7" s="55">
        <f t="shared" si="31"/>
        <v>0</v>
      </c>
      <c r="CE7" s="4"/>
      <c r="CF7" s="4">
        <f t="shared" si="10"/>
        <v>0</v>
      </c>
      <c r="CG7" s="22">
        <f t="shared" si="11"/>
        <v>136</v>
      </c>
      <c r="CH7" s="4">
        <v>200</v>
      </c>
      <c r="CI7" s="4"/>
      <c r="CJ7" s="4">
        <f t="shared" si="32"/>
        <v>0</v>
      </c>
      <c r="CK7" s="37">
        <f t="shared" si="33"/>
        <v>526</v>
      </c>
      <c r="CL7" s="4">
        <v>800</v>
      </c>
      <c r="CM7" s="174">
        <f t="shared" si="49"/>
        <v>553</v>
      </c>
      <c r="CN7" s="173">
        <f t="shared" si="34"/>
        <v>800</v>
      </c>
      <c r="CO7" s="173">
        <f t="shared" si="35"/>
        <v>1353</v>
      </c>
      <c r="CP7" s="174">
        <f t="shared" si="36"/>
        <v>526</v>
      </c>
      <c r="CQ7" s="174">
        <f t="shared" si="37"/>
        <v>827</v>
      </c>
      <c r="CR7" s="91">
        <v>715</v>
      </c>
      <c r="CS7" s="183">
        <f t="shared" si="12"/>
        <v>0</v>
      </c>
      <c r="CT7" s="184">
        <f t="shared" si="13"/>
        <v>136</v>
      </c>
      <c r="CU7" s="183">
        <f t="shared" si="38"/>
        <v>386</v>
      </c>
      <c r="CV7" s="185">
        <f t="shared" si="39"/>
        <v>193</v>
      </c>
      <c r="CW7" s="185">
        <f t="shared" si="14"/>
        <v>0</v>
      </c>
      <c r="CX7" s="185">
        <f t="shared" si="15"/>
        <v>0</v>
      </c>
      <c r="CY7" s="185">
        <f t="shared" si="16"/>
        <v>0</v>
      </c>
      <c r="CZ7" s="184">
        <f t="shared" si="40"/>
        <v>0</v>
      </c>
      <c r="DA7" s="315">
        <f t="shared" si="41"/>
        <v>0</v>
      </c>
      <c r="DC7" s="175">
        <f t="shared" si="17"/>
        <v>0</v>
      </c>
      <c r="DD7" s="177">
        <f t="shared" si="18"/>
        <v>579</v>
      </c>
      <c r="DE7" s="32">
        <f t="shared" si="42"/>
        <v>46086</v>
      </c>
      <c r="DF7" s="39">
        <f t="shared" si="43"/>
        <v>0</v>
      </c>
      <c r="DG7" s="39">
        <f t="shared" si="44"/>
        <v>0</v>
      </c>
      <c r="DH7" s="39">
        <f t="shared" si="45"/>
        <v>0</v>
      </c>
      <c r="DI7" s="39">
        <f t="shared" si="46"/>
        <v>0</v>
      </c>
      <c r="DJ7" s="39">
        <f t="shared" si="47"/>
        <v>0</v>
      </c>
      <c r="DK7" s="39">
        <f t="shared" si="48"/>
        <v>0</v>
      </c>
    </row>
    <row r="8" spans="1:142" ht="15.6">
      <c r="A8" s="32">
        <f t="shared" si="19"/>
        <v>46087</v>
      </c>
      <c r="B8" s="34"/>
      <c r="C8" s="4">
        <v>6</v>
      </c>
      <c r="D8" s="4">
        <v>89</v>
      </c>
      <c r="E8" s="4"/>
      <c r="F8" s="4">
        <f t="shared" si="20"/>
        <v>95</v>
      </c>
      <c r="G8" s="4">
        <f t="shared" si="0"/>
        <v>0</v>
      </c>
      <c r="H8" s="4">
        <f t="shared" si="1"/>
        <v>180</v>
      </c>
      <c r="I8" s="4">
        <f t="shared" si="2"/>
        <v>2670</v>
      </c>
      <c r="J8" s="4">
        <f t="shared" si="3"/>
        <v>0</v>
      </c>
      <c r="K8" s="30">
        <f t="shared" si="4"/>
        <v>2850</v>
      </c>
      <c r="L8" s="61">
        <f t="shared" si="5"/>
        <v>1056</v>
      </c>
      <c r="M8" s="206">
        <v>2</v>
      </c>
      <c r="N8" s="207">
        <v>11.8</v>
      </c>
      <c r="O8" s="208">
        <v>21</v>
      </c>
      <c r="P8" s="207">
        <v>115.9</v>
      </c>
      <c r="Q8" s="207">
        <v>29.1</v>
      </c>
      <c r="R8" s="207">
        <v>27.35</v>
      </c>
      <c r="S8" s="293">
        <v>8.4</v>
      </c>
      <c r="T8" s="293">
        <v>82</v>
      </c>
      <c r="U8" s="293">
        <v>29.1</v>
      </c>
      <c r="V8" s="293">
        <v>800</v>
      </c>
      <c r="W8" s="178">
        <f t="shared" si="21"/>
        <v>59.45000000000001</v>
      </c>
      <c r="X8" s="200">
        <v>0</v>
      </c>
      <c r="Y8" s="200">
        <v>9.4</v>
      </c>
      <c r="Z8" s="200">
        <v>5</v>
      </c>
      <c r="AA8" s="200">
        <v>66</v>
      </c>
      <c r="AB8" s="200">
        <v>2005.79</v>
      </c>
      <c r="AC8" s="200">
        <v>370</v>
      </c>
      <c r="AD8" s="178">
        <v>8.4</v>
      </c>
      <c r="AE8" s="178">
        <v>1.4</v>
      </c>
      <c r="AF8" s="178">
        <v>6</v>
      </c>
      <c r="AG8" s="178">
        <v>87</v>
      </c>
      <c r="AH8" s="178">
        <v>3015</v>
      </c>
      <c r="AI8" s="178">
        <v>180</v>
      </c>
      <c r="AJ8" s="200">
        <v>2</v>
      </c>
      <c r="AK8" s="200">
        <v>8.6999999999999993</v>
      </c>
      <c r="AL8" s="200">
        <v>30</v>
      </c>
      <c r="AM8" s="200">
        <v>124.8</v>
      </c>
      <c r="AN8" s="275">
        <v>0</v>
      </c>
      <c r="AO8" s="275">
        <v>124.8</v>
      </c>
      <c r="AP8" s="275">
        <f t="shared" si="23"/>
        <v>0</v>
      </c>
      <c r="AQ8" s="275">
        <v>526</v>
      </c>
      <c r="AR8" s="62">
        <v>2</v>
      </c>
      <c r="AS8" s="62">
        <v>160</v>
      </c>
      <c r="AT8" s="62">
        <v>7</v>
      </c>
      <c r="AU8" s="60">
        <v>0.65</v>
      </c>
      <c r="AV8" s="62">
        <v>9.4</v>
      </c>
      <c r="AW8" s="62">
        <v>7.21</v>
      </c>
      <c r="AX8" s="62">
        <v>7</v>
      </c>
      <c r="AY8" s="62">
        <v>7</v>
      </c>
      <c r="AZ8" s="94">
        <v>1200</v>
      </c>
      <c r="BA8" s="94">
        <v>600</v>
      </c>
      <c r="BB8" s="95">
        <f t="shared" si="24"/>
        <v>600</v>
      </c>
      <c r="BC8" s="124">
        <v>8</v>
      </c>
      <c r="BD8" s="124">
        <v>7.8</v>
      </c>
      <c r="BE8" s="124">
        <v>400</v>
      </c>
      <c r="BF8" s="124">
        <v>200</v>
      </c>
      <c r="BG8" s="124">
        <v>200</v>
      </c>
      <c r="BH8" s="124">
        <v>2</v>
      </c>
      <c r="BI8" s="124">
        <v>9.1</v>
      </c>
      <c r="BJ8" s="124">
        <v>53</v>
      </c>
      <c r="BK8" s="124">
        <v>217</v>
      </c>
      <c r="BL8" s="124">
        <f t="shared" si="25"/>
        <v>270</v>
      </c>
      <c r="BM8" s="181">
        <f t="shared" si="6"/>
        <v>15.21</v>
      </c>
      <c r="BN8" s="181">
        <f t="shared" si="7"/>
        <v>15</v>
      </c>
      <c r="BO8" s="181">
        <f t="shared" si="8"/>
        <v>14.8</v>
      </c>
      <c r="BP8" s="181">
        <f t="shared" si="9"/>
        <v>1600</v>
      </c>
      <c r="BQ8" s="181">
        <f t="shared" si="26"/>
        <v>18.5</v>
      </c>
      <c r="BR8" s="181">
        <f t="shared" si="27"/>
        <v>213</v>
      </c>
      <c r="BS8" s="181">
        <f t="shared" si="28"/>
        <v>224</v>
      </c>
      <c r="BT8" s="181">
        <f t="shared" si="29"/>
        <v>437</v>
      </c>
      <c r="BU8" s="86">
        <v>5.9</v>
      </c>
      <c r="BV8" s="86">
        <v>500</v>
      </c>
      <c r="BW8" s="86">
        <v>2</v>
      </c>
      <c r="BX8" s="86">
        <v>10.3</v>
      </c>
      <c r="BY8" s="86">
        <v>130</v>
      </c>
      <c r="BZ8" s="86">
        <v>67</v>
      </c>
      <c r="CA8" s="86">
        <f t="shared" si="30"/>
        <v>197</v>
      </c>
      <c r="CB8" s="4">
        <f>1260-366</f>
        <v>894</v>
      </c>
      <c r="CC8" s="4">
        <f>500-184</f>
        <v>316</v>
      </c>
      <c r="CD8" s="55">
        <f t="shared" si="31"/>
        <v>526</v>
      </c>
      <c r="CE8" s="4">
        <v>203</v>
      </c>
      <c r="CF8" s="4">
        <f t="shared" si="10"/>
        <v>370</v>
      </c>
      <c r="CG8" s="22">
        <f t="shared" si="11"/>
        <v>180</v>
      </c>
      <c r="CH8" s="4">
        <v>382</v>
      </c>
      <c r="CI8" s="4">
        <v>155</v>
      </c>
      <c r="CJ8" s="4">
        <f t="shared" si="32"/>
        <v>800</v>
      </c>
      <c r="CK8" s="37">
        <f t="shared" si="33"/>
        <v>3826</v>
      </c>
      <c r="CL8" s="4">
        <v>3000</v>
      </c>
      <c r="CM8" s="174">
        <f t="shared" si="49"/>
        <v>827</v>
      </c>
      <c r="CN8" s="173">
        <f t="shared" si="34"/>
        <v>3000</v>
      </c>
      <c r="CO8" s="173">
        <f t="shared" si="35"/>
        <v>3827</v>
      </c>
      <c r="CP8" s="174">
        <f t="shared" si="36"/>
        <v>3826</v>
      </c>
      <c r="CQ8" s="174">
        <f t="shared" si="37"/>
        <v>1</v>
      </c>
      <c r="CR8" s="91">
        <v>3610</v>
      </c>
      <c r="CS8" s="183">
        <f t="shared" si="12"/>
        <v>370</v>
      </c>
      <c r="CT8" s="184">
        <f t="shared" si="13"/>
        <v>180</v>
      </c>
      <c r="CU8" s="183">
        <f t="shared" si="38"/>
        <v>167</v>
      </c>
      <c r="CV8" s="185">
        <f t="shared" si="39"/>
        <v>270</v>
      </c>
      <c r="CW8" s="185">
        <f t="shared" si="14"/>
        <v>197</v>
      </c>
      <c r="CX8" s="185">
        <f t="shared" si="15"/>
        <v>800</v>
      </c>
      <c r="CY8" s="185">
        <f t="shared" si="16"/>
        <v>526</v>
      </c>
      <c r="CZ8" s="184">
        <f t="shared" si="40"/>
        <v>1100</v>
      </c>
      <c r="DA8" s="315">
        <f t="shared" si="41"/>
        <v>2426</v>
      </c>
      <c r="DC8" s="175">
        <f t="shared" si="17"/>
        <v>1626</v>
      </c>
      <c r="DD8" s="177">
        <f t="shared" si="18"/>
        <v>634</v>
      </c>
      <c r="DE8" s="32">
        <f t="shared" si="42"/>
        <v>46087</v>
      </c>
      <c r="DF8" s="39">
        <f t="shared" si="43"/>
        <v>89</v>
      </c>
      <c r="DG8" s="39">
        <f t="shared" si="44"/>
        <v>2670</v>
      </c>
      <c r="DH8" s="39">
        <f t="shared" si="45"/>
        <v>6</v>
      </c>
      <c r="DI8" s="39">
        <f t="shared" si="46"/>
        <v>180</v>
      </c>
      <c r="DJ8" s="39">
        <f t="shared" si="47"/>
        <v>95</v>
      </c>
      <c r="DK8" s="39">
        <f t="shared" si="48"/>
        <v>2850</v>
      </c>
    </row>
    <row r="9" spans="1:142" ht="15.6">
      <c r="A9" s="32">
        <f t="shared" si="19"/>
        <v>46088</v>
      </c>
      <c r="B9" s="34"/>
      <c r="C9" s="4">
        <v>18</v>
      </c>
      <c r="D9" s="4">
        <v>79</v>
      </c>
      <c r="E9" s="4"/>
      <c r="F9" s="4">
        <f t="shared" si="20"/>
        <v>97</v>
      </c>
      <c r="G9" s="4">
        <f t="shared" si="0"/>
        <v>0</v>
      </c>
      <c r="H9" s="4">
        <f t="shared" si="1"/>
        <v>540</v>
      </c>
      <c r="I9" s="4">
        <f t="shared" si="2"/>
        <v>2370</v>
      </c>
      <c r="J9" s="4">
        <f t="shared" si="3"/>
        <v>0</v>
      </c>
      <c r="K9" s="30">
        <f t="shared" si="4"/>
        <v>2910</v>
      </c>
      <c r="L9" s="61">
        <f t="shared" si="5"/>
        <v>1078</v>
      </c>
      <c r="M9" s="206">
        <v>2</v>
      </c>
      <c r="N9" s="178">
        <v>13.8</v>
      </c>
      <c r="O9" s="178">
        <v>22</v>
      </c>
      <c r="P9" s="178">
        <v>111.95</v>
      </c>
      <c r="Q9" s="178">
        <v>5</v>
      </c>
      <c r="R9" s="178">
        <v>18.899999999999999</v>
      </c>
      <c r="S9" s="292">
        <v>8.6999999999999993</v>
      </c>
      <c r="T9" s="292">
        <v>64</v>
      </c>
      <c r="U9" s="292">
        <v>24.5</v>
      </c>
      <c r="V9" s="292">
        <v>524</v>
      </c>
      <c r="W9" s="178">
        <f t="shared" si="21"/>
        <v>88.050000000000011</v>
      </c>
      <c r="X9" s="200">
        <v>2.8</v>
      </c>
      <c r="Y9" s="200">
        <v>5</v>
      </c>
      <c r="Z9" s="200">
        <v>4</v>
      </c>
      <c r="AA9" s="200">
        <v>37</v>
      </c>
      <c r="AB9" s="200">
        <v>1032.6400000000001</v>
      </c>
      <c r="AC9" s="200">
        <v>200</v>
      </c>
      <c r="AD9" s="178">
        <v>10.7</v>
      </c>
      <c r="AE9" s="178">
        <v>2.2000000000000002</v>
      </c>
      <c r="AF9" s="178">
        <v>4</v>
      </c>
      <c r="AG9" s="178">
        <v>87</v>
      </c>
      <c r="AH9" s="178">
        <v>2907</v>
      </c>
      <c r="AI9" s="178">
        <v>350</v>
      </c>
      <c r="AJ9" s="200">
        <v>3</v>
      </c>
      <c r="AK9" s="200">
        <v>17.600000000000001</v>
      </c>
      <c r="AL9" s="200">
        <v>58</v>
      </c>
      <c r="AM9" s="200">
        <v>298.7</v>
      </c>
      <c r="AN9" s="275">
        <v>0</v>
      </c>
      <c r="AO9" s="275">
        <v>298.7</v>
      </c>
      <c r="AP9" s="275">
        <f t="shared" si="23"/>
        <v>0</v>
      </c>
      <c r="AQ9" s="275">
        <v>772</v>
      </c>
      <c r="AR9" s="62">
        <v>2</v>
      </c>
      <c r="AS9" s="62">
        <v>197</v>
      </c>
      <c r="AT9" s="62">
        <v>37</v>
      </c>
      <c r="AU9" s="60">
        <v>0.37</v>
      </c>
      <c r="AV9" s="62">
        <v>14.7</v>
      </c>
      <c r="AW9" s="62">
        <v>10.71</v>
      </c>
      <c r="AX9" s="62">
        <v>12</v>
      </c>
      <c r="AY9" s="62">
        <v>12</v>
      </c>
      <c r="AZ9" s="94">
        <v>1400</v>
      </c>
      <c r="BA9" s="94">
        <v>700</v>
      </c>
      <c r="BB9" s="95">
        <f t="shared" si="24"/>
        <v>700</v>
      </c>
      <c r="BC9" s="124">
        <v>9</v>
      </c>
      <c r="BD9" s="124">
        <v>10.199999999999999</v>
      </c>
      <c r="BE9" s="124">
        <v>500</v>
      </c>
      <c r="BF9" s="124">
        <v>250</v>
      </c>
      <c r="BG9" s="124">
        <v>250</v>
      </c>
      <c r="BH9" s="124">
        <v>2</v>
      </c>
      <c r="BI9" s="124">
        <v>11.2</v>
      </c>
      <c r="BJ9" s="124">
        <v>126</v>
      </c>
      <c r="BK9" s="124">
        <v>370</v>
      </c>
      <c r="BL9" s="124">
        <f t="shared" si="25"/>
        <v>496</v>
      </c>
      <c r="BM9" s="181">
        <f t="shared" si="6"/>
        <v>19.71</v>
      </c>
      <c r="BN9" s="181">
        <f t="shared" si="7"/>
        <v>21</v>
      </c>
      <c r="BO9" s="181">
        <f t="shared" si="8"/>
        <v>22.2</v>
      </c>
      <c r="BP9" s="181">
        <f t="shared" si="9"/>
        <v>1900</v>
      </c>
      <c r="BQ9" s="181">
        <f t="shared" si="26"/>
        <v>25.9</v>
      </c>
      <c r="BR9" s="181">
        <f t="shared" si="27"/>
        <v>323</v>
      </c>
      <c r="BS9" s="181">
        <f t="shared" si="28"/>
        <v>407</v>
      </c>
      <c r="BT9" s="181">
        <f t="shared" si="29"/>
        <v>730</v>
      </c>
      <c r="BU9" s="86">
        <v>1.3</v>
      </c>
      <c r="BV9" s="86">
        <v>100</v>
      </c>
      <c r="BW9" s="86">
        <v>1</v>
      </c>
      <c r="BX9" s="86">
        <v>2</v>
      </c>
      <c r="BY9" s="86">
        <v>22</v>
      </c>
      <c r="BZ9" s="86">
        <v>14</v>
      </c>
      <c r="CA9" s="86">
        <f t="shared" si="30"/>
        <v>36</v>
      </c>
      <c r="CB9" s="4">
        <f>1424-431</f>
        <v>993</v>
      </c>
      <c r="CC9" s="4">
        <f>474-119</f>
        <v>355</v>
      </c>
      <c r="CD9" s="55">
        <f t="shared" si="31"/>
        <v>772</v>
      </c>
      <c r="CE9" s="4">
        <v>147</v>
      </c>
      <c r="CF9" s="4">
        <f t="shared" si="10"/>
        <v>200</v>
      </c>
      <c r="CG9" s="22">
        <f t="shared" si="11"/>
        <v>350</v>
      </c>
      <c r="CH9" s="4">
        <v>194</v>
      </c>
      <c r="CI9" s="4">
        <v>0</v>
      </c>
      <c r="CJ9" s="4">
        <f t="shared" si="32"/>
        <v>524</v>
      </c>
      <c r="CK9" s="37">
        <f t="shared" si="33"/>
        <v>3535</v>
      </c>
      <c r="CL9" s="4">
        <v>5000</v>
      </c>
      <c r="CM9" s="174">
        <f t="shared" si="49"/>
        <v>1</v>
      </c>
      <c r="CN9" s="173">
        <f t="shared" si="34"/>
        <v>5000</v>
      </c>
      <c r="CO9" s="173">
        <f t="shared" si="35"/>
        <v>5001</v>
      </c>
      <c r="CP9" s="174">
        <f t="shared" si="36"/>
        <v>3535</v>
      </c>
      <c r="CQ9" s="174">
        <f t="shared" si="37"/>
        <v>1466</v>
      </c>
      <c r="CR9" s="91">
        <v>3708</v>
      </c>
      <c r="CS9" s="183">
        <f t="shared" si="12"/>
        <v>200</v>
      </c>
      <c r="CT9" s="184">
        <f t="shared" si="13"/>
        <v>350</v>
      </c>
      <c r="CU9" s="183">
        <f t="shared" si="38"/>
        <v>234</v>
      </c>
      <c r="CV9" s="185">
        <f t="shared" si="39"/>
        <v>496</v>
      </c>
      <c r="CW9" s="185">
        <f t="shared" si="14"/>
        <v>36</v>
      </c>
      <c r="CX9" s="185">
        <f t="shared" si="15"/>
        <v>524</v>
      </c>
      <c r="CY9" s="185">
        <f t="shared" si="16"/>
        <v>772</v>
      </c>
      <c r="CZ9" s="184">
        <f t="shared" si="40"/>
        <v>1096</v>
      </c>
      <c r="DA9" s="315">
        <f t="shared" si="41"/>
        <v>2392</v>
      </c>
      <c r="DC9" s="175">
        <f t="shared" si="17"/>
        <v>1868</v>
      </c>
      <c r="DD9" s="177">
        <f t="shared" si="18"/>
        <v>766</v>
      </c>
      <c r="DE9" s="32">
        <f t="shared" si="42"/>
        <v>46088</v>
      </c>
      <c r="DF9" s="39">
        <f t="shared" si="43"/>
        <v>79</v>
      </c>
      <c r="DG9" s="39">
        <f t="shared" si="44"/>
        <v>2370</v>
      </c>
      <c r="DH9" s="39">
        <f t="shared" si="45"/>
        <v>18</v>
      </c>
      <c r="DI9" s="39">
        <f t="shared" si="46"/>
        <v>540</v>
      </c>
      <c r="DJ9" s="39">
        <f t="shared" si="47"/>
        <v>97</v>
      </c>
      <c r="DK9" s="39">
        <f t="shared" si="48"/>
        <v>2910</v>
      </c>
    </row>
    <row r="10" spans="1:142" ht="15.6">
      <c r="A10" s="32">
        <f t="shared" si="19"/>
        <v>46089</v>
      </c>
      <c r="B10" s="34"/>
      <c r="C10" s="4"/>
      <c r="D10" s="4">
        <v>64</v>
      </c>
      <c r="E10" s="4"/>
      <c r="F10" s="4">
        <f t="shared" si="20"/>
        <v>64</v>
      </c>
      <c r="G10" s="4">
        <f t="shared" si="0"/>
        <v>0</v>
      </c>
      <c r="H10" s="4">
        <f t="shared" si="1"/>
        <v>0</v>
      </c>
      <c r="I10" s="4">
        <f t="shared" si="2"/>
        <v>1920</v>
      </c>
      <c r="J10" s="4">
        <f t="shared" si="3"/>
        <v>0</v>
      </c>
      <c r="K10" s="30">
        <f t="shared" si="4"/>
        <v>1920</v>
      </c>
      <c r="L10" s="61">
        <f t="shared" si="5"/>
        <v>712</v>
      </c>
      <c r="M10" s="206">
        <v>1</v>
      </c>
      <c r="N10" s="178">
        <v>7</v>
      </c>
      <c r="O10" s="178">
        <v>18</v>
      </c>
      <c r="P10" s="178">
        <v>93.8</v>
      </c>
      <c r="Q10" s="178">
        <v>44.3</v>
      </c>
      <c r="R10" s="178">
        <v>17.7</v>
      </c>
      <c r="S10" s="292">
        <v>9.1</v>
      </c>
      <c r="T10" s="292">
        <v>98</v>
      </c>
      <c r="U10" s="292">
        <v>33.5</v>
      </c>
      <c r="V10" s="292">
        <v>224</v>
      </c>
      <c r="W10" s="178">
        <f t="shared" si="21"/>
        <v>31.8</v>
      </c>
      <c r="X10" s="200">
        <v>2</v>
      </c>
      <c r="Y10" s="200">
        <v>2.5</v>
      </c>
      <c r="Z10" s="200">
        <v>4</v>
      </c>
      <c r="AA10" s="200">
        <v>23</v>
      </c>
      <c r="AB10" s="200">
        <v>656.1</v>
      </c>
      <c r="AC10" s="200">
        <v>160</v>
      </c>
      <c r="AD10" s="178">
        <v>14.5</v>
      </c>
      <c r="AE10" s="178">
        <v>1.7</v>
      </c>
      <c r="AF10" s="178">
        <v>12</v>
      </c>
      <c r="AG10" s="178">
        <v>136</v>
      </c>
      <c r="AH10" s="178">
        <v>4532</v>
      </c>
      <c r="AI10" s="178">
        <v>450</v>
      </c>
      <c r="AJ10" s="200">
        <v>1</v>
      </c>
      <c r="AK10" s="200">
        <v>3.2</v>
      </c>
      <c r="AL10" s="200">
        <v>7</v>
      </c>
      <c r="AM10" s="200">
        <v>47.6</v>
      </c>
      <c r="AN10" s="275">
        <v>0</v>
      </c>
      <c r="AO10" s="275">
        <v>47.6</v>
      </c>
      <c r="AP10" s="275">
        <f t="shared" si="23"/>
        <v>0</v>
      </c>
      <c r="AQ10" s="275">
        <v>440</v>
      </c>
      <c r="AR10" s="62">
        <v>3</v>
      </c>
      <c r="AS10" s="62">
        <v>369</v>
      </c>
      <c r="AT10" s="62">
        <v>15</v>
      </c>
      <c r="AU10" s="60">
        <v>0.71</v>
      </c>
      <c r="AV10" s="62">
        <v>24.7</v>
      </c>
      <c r="AW10" s="62">
        <v>7.1</v>
      </c>
      <c r="AX10" s="62">
        <v>7</v>
      </c>
      <c r="AY10" s="62">
        <v>7</v>
      </c>
      <c r="AZ10" s="94">
        <v>1000</v>
      </c>
      <c r="BA10" s="94">
        <v>500</v>
      </c>
      <c r="BB10" s="95">
        <f t="shared" si="24"/>
        <v>500</v>
      </c>
      <c r="BC10" s="124">
        <v>10</v>
      </c>
      <c r="BD10" s="124">
        <v>9</v>
      </c>
      <c r="BE10" s="124">
        <v>400</v>
      </c>
      <c r="BF10" s="124">
        <v>200</v>
      </c>
      <c r="BG10" s="124">
        <v>200</v>
      </c>
      <c r="BH10" s="124">
        <v>2</v>
      </c>
      <c r="BI10" s="124">
        <v>10.1</v>
      </c>
      <c r="BJ10" s="124">
        <v>154</v>
      </c>
      <c r="BK10" s="124">
        <v>451</v>
      </c>
      <c r="BL10" s="124">
        <f t="shared" si="25"/>
        <v>605</v>
      </c>
      <c r="BM10" s="181">
        <f t="shared" si="6"/>
        <v>17.100000000000001</v>
      </c>
      <c r="BN10" s="181">
        <f t="shared" si="7"/>
        <v>17</v>
      </c>
      <c r="BO10" s="181">
        <f t="shared" si="8"/>
        <v>16</v>
      </c>
      <c r="BP10" s="181">
        <f t="shared" si="9"/>
        <v>1400</v>
      </c>
      <c r="BQ10" s="181">
        <f t="shared" si="26"/>
        <v>34.799999999999997</v>
      </c>
      <c r="BR10" s="181">
        <f t="shared" si="27"/>
        <v>523</v>
      </c>
      <c r="BS10" s="181">
        <f t="shared" si="28"/>
        <v>466</v>
      </c>
      <c r="BT10" s="181">
        <f t="shared" si="29"/>
        <v>989</v>
      </c>
      <c r="BU10" s="86">
        <v>0</v>
      </c>
      <c r="BV10" s="86">
        <v>0</v>
      </c>
      <c r="BW10" s="86">
        <v>0</v>
      </c>
      <c r="BX10" s="86">
        <v>0</v>
      </c>
      <c r="BY10" s="86">
        <v>0</v>
      </c>
      <c r="BZ10" s="86">
        <v>0</v>
      </c>
      <c r="CA10" s="86">
        <f t="shared" si="30"/>
        <v>0</v>
      </c>
      <c r="CB10" s="4">
        <v>0</v>
      </c>
      <c r="CC10" s="4">
        <f>314-70</f>
        <v>244</v>
      </c>
      <c r="CD10" s="55">
        <f t="shared" si="31"/>
        <v>440</v>
      </c>
      <c r="CE10" s="4">
        <v>0</v>
      </c>
      <c r="CF10" s="4">
        <f t="shared" si="10"/>
        <v>160</v>
      </c>
      <c r="CG10" s="22">
        <f t="shared" si="11"/>
        <v>450</v>
      </c>
      <c r="CH10" s="4">
        <f>702-31</f>
        <v>671</v>
      </c>
      <c r="CI10" s="4">
        <v>0</v>
      </c>
      <c r="CJ10" s="4">
        <f t="shared" si="32"/>
        <v>224</v>
      </c>
      <c r="CK10" s="37">
        <f t="shared" si="33"/>
        <v>2189</v>
      </c>
      <c r="CL10" s="4">
        <v>4724</v>
      </c>
      <c r="CM10" s="174">
        <f t="shared" si="49"/>
        <v>1466</v>
      </c>
      <c r="CN10" s="173">
        <f t="shared" si="34"/>
        <v>4724</v>
      </c>
      <c r="CO10" s="173">
        <f t="shared" si="35"/>
        <v>6190</v>
      </c>
      <c r="CP10" s="174">
        <f t="shared" si="36"/>
        <v>2189</v>
      </c>
      <c r="CQ10" s="174">
        <f t="shared" si="37"/>
        <v>4001</v>
      </c>
      <c r="CR10" s="91">
        <v>2623</v>
      </c>
      <c r="CS10" s="183">
        <f t="shared" si="12"/>
        <v>160</v>
      </c>
      <c r="CT10" s="184">
        <f t="shared" si="13"/>
        <v>450</v>
      </c>
      <c r="CU10" s="183">
        <f t="shared" si="38"/>
        <v>384</v>
      </c>
      <c r="CV10" s="185">
        <f t="shared" si="39"/>
        <v>605</v>
      </c>
      <c r="CW10" s="185">
        <f t="shared" si="14"/>
        <v>0</v>
      </c>
      <c r="CX10" s="185">
        <f t="shared" si="15"/>
        <v>224</v>
      </c>
      <c r="CY10" s="185">
        <f t="shared" si="16"/>
        <v>440</v>
      </c>
      <c r="CZ10" s="184">
        <f t="shared" si="40"/>
        <v>360</v>
      </c>
      <c r="DA10" s="315">
        <f t="shared" si="41"/>
        <v>1024</v>
      </c>
      <c r="DC10" s="175">
        <f t="shared" si="17"/>
        <v>800</v>
      </c>
      <c r="DD10" s="177">
        <f t="shared" si="18"/>
        <v>989</v>
      </c>
      <c r="DE10" s="32">
        <f t="shared" si="42"/>
        <v>46089</v>
      </c>
      <c r="DF10" s="39">
        <f t="shared" si="43"/>
        <v>64</v>
      </c>
      <c r="DG10" s="39">
        <f t="shared" si="44"/>
        <v>1920</v>
      </c>
      <c r="DH10" s="39">
        <f t="shared" si="45"/>
        <v>0</v>
      </c>
      <c r="DI10" s="39">
        <f t="shared" si="46"/>
        <v>0</v>
      </c>
      <c r="DJ10" s="39">
        <f t="shared" si="47"/>
        <v>64</v>
      </c>
      <c r="DK10" s="39">
        <f t="shared" si="48"/>
        <v>1920</v>
      </c>
    </row>
    <row r="11" spans="1:142" ht="15.6">
      <c r="A11" s="32">
        <f t="shared" si="19"/>
        <v>46090</v>
      </c>
      <c r="B11" s="34"/>
      <c r="C11" s="4">
        <v>9</v>
      </c>
      <c r="D11" s="4">
        <v>137</v>
      </c>
      <c r="E11" s="4"/>
      <c r="F11" s="4">
        <f t="shared" si="20"/>
        <v>146</v>
      </c>
      <c r="G11" s="4">
        <f t="shared" si="0"/>
        <v>0</v>
      </c>
      <c r="H11" s="4">
        <f t="shared" si="1"/>
        <v>270</v>
      </c>
      <c r="I11" s="4">
        <f t="shared" si="2"/>
        <v>4110</v>
      </c>
      <c r="J11" s="4">
        <f t="shared" si="3"/>
        <v>0</v>
      </c>
      <c r="K11" s="30">
        <f t="shared" si="4"/>
        <v>4380</v>
      </c>
      <c r="L11" s="61">
        <f t="shared" si="5"/>
        <v>1623</v>
      </c>
      <c r="M11" s="206">
        <v>2</v>
      </c>
      <c r="N11" s="178">
        <v>18.2</v>
      </c>
      <c r="O11" s="178">
        <v>14</v>
      </c>
      <c r="P11" s="178">
        <v>81.349999999999994</v>
      </c>
      <c r="Q11" s="178">
        <v>9.35</v>
      </c>
      <c r="R11" s="178">
        <v>0</v>
      </c>
      <c r="S11" s="292">
        <v>9.1999999999999993</v>
      </c>
      <c r="T11" s="292">
        <v>61</v>
      </c>
      <c r="U11" s="292">
        <v>31.7</v>
      </c>
      <c r="V11" s="292">
        <v>1040</v>
      </c>
      <c r="W11" s="178">
        <f t="shared" si="21"/>
        <v>72</v>
      </c>
      <c r="X11" s="200">
        <v>0</v>
      </c>
      <c r="Y11" s="200">
        <v>0</v>
      </c>
      <c r="Z11" s="200">
        <v>0</v>
      </c>
      <c r="AA11" s="200">
        <v>0</v>
      </c>
      <c r="AB11" s="200">
        <v>0</v>
      </c>
      <c r="AC11" s="200">
        <v>0</v>
      </c>
      <c r="AD11" s="178">
        <v>5.8</v>
      </c>
      <c r="AE11" s="178">
        <v>0</v>
      </c>
      <c r="AF11" s="178">
        <v>3</v>
      </c>
      <c r="AG11" s="178">
        <v>29</v>
      </c>
      <c r="AH11" s="178">
        <f t="shared" si="22"/>
        <v>841</v>
      </c>
      <c r="AI11" s="178">
        <v>110</v>
      </c>
      <c r="AJ11" s="200">
        <v>2</v>
      </c>
      <c r="AK11" s="200">
        <v>9</v>
      </c>
      <c r="AL11" s="200">
        <v>27</v>
      </c>
      <c r="AM11" s="200">
        <v>183.5</v>
      </c>
      <c r="AN11" s="275">
        <v>0</v>
      </c>
      <c r="AO11" s="275">
        <v>183.5</v>
      </c>
      <c r="AP11" s="275">
        <f t="shared" si="23"/>
        <v>0</v>
      </c>
      <c r="AQ11" s="275">
        <v>178</v>
      </c>
      <c r="AR11" s="62">
        <v>3</v>
      </c>
      <c r="AS11" s="62">
        <v>419</v>
      </c>
      <c r="AT11" s="62">
        <v>67</v>
      </c>
      <c r="AU11" s="60">
        <v>2.2999999999999998</v>
      </c>
      <c r="AV11" s="62">
        <v>29.1</v>
      </c>
      <c r="AW11" s="62">
        <v>8.23</v>
      </c>
      <c r="AX11" s="62">
        <v>9</v>
      </c>
      <c r="AY11" s="62">
        <v>9</v>
      </c>
      <c r="AZ11" s="94">
        <v>1000</v>
      </c>
      <c r="BA11" s="94">
        <v>500</v>
      </c>
      <c r="BB11" s="95">
        <f t="shared" si="24"/>
        <v>500</v>
      </c>
      <c r="BC11" s="124">
        <v>2</v>
      </c>
      <c r="BD11" s="124">
        <v>2</v>
      </c>
      <c r="BE11" s="124">
        <v>150</v>
      </c>
      <c r="BF11" s="124">
        <v>80</v>
      </c>
      <c r="BG11" s="124">
        <v>70</v>
      </c>
      <c r="BH11" s="124">
        <v>1</v>
      </c>
      <c r="BI11" s="124">
        <v>2.9</v>
      </c>
      <c r="BJ11" s="124">
        <v>17</v>
      </c>
      <c r="BK11" s="124">
        <v>65</v>
      </c>
      <c r="BL11" s="124">
        <f t="shared" si="25"/>
        <v>82</v>
      </c>
      <c r="BM11" s="181">
        <f t="shared" si="6"/>
        <v>10.23</v>
      </c>
      <c r="BN11" s="181">
        <f t="shared" si="7"/>
        <v>11</v>
      </c>
      <c r="BO11" s="181">
        <f t="shared" si="8"/>
        <v>11</v>
      </c>
      <c r="BP11" s="181">
        <f t="shared" si="9"/>
        <v>1150</v>
      </c>
      <c r="BQ11" s="181">
        <f t="shared" si="26"/>
        <v>32</v>
      </c>
      <c r="BR11" s="181">
        <f t="shared" si="27"/>
        <v>436</v>
      </c>
      <c r="BS11" s="181">
        <f t="shared" si="28"/>
        <v>132</v>
      </c>
      <c r="BT11" s="181">
        <f t="shared" si="29"/>
        <v>568</v>
      </c>
      <c r="BU11" s="86">
        <v>6</v>
      </c>
      <c r="BV11" s="86">
        <v>500</v>
      </c>
      <c r="BW11" s="86">
        <v>1</v>
      </c>
      <c r="BX11" s="86">
        <v>8.4</v>
      </c>
      <c r="BY11" s="86">
        <v>90</v>
      </c>
      <c r="BZ11" s="86">
        <v>66</v>
      </c>
      <c r="CA11" s="86">
        <f t="shared" si="30"/>
        <v>156</v>
      </c>
      <c r="CB11" s="4">
        <f>651-85</f>
        <v>566</v>
      </c>
      <c r="CC11" s="4">
        <f>483-25</f>
        <v>458</v>
      </c>
      <c r="CD11" s="55">
        <f t="shared" si="31"/>
        <v>178</v>
      </c>
      <c r="CE11" s="4">
        <v>100</v>
      </c>
      <c r="CF11" s="4">
        <f t="shared" si="10"/>
        <v>0</v>
      </c>
      <c r="CG11" s="22">
        <f t="shared" si="11"/>
        <v>110</v>
      </c>
      <c r="CH11" s="4">
        <v>0</v>
      </c>
      <c r="CI11" s="4">
        <v>0</v>
      </c>
      <c r="CJ11" s="4">
        <f t="shared" si="32"/>
        <v>1040</v>
      </c>
      <c r="CK11" s="37">
        <f t="shared" si="33"/>
        <v>2452</v>
      </c>
      <c r="CL11" s="37">
        <v>0</v>
      </c>
      <c r="CM11" s="174">
        <f t="shared" si="49"/>
        <v>4001</v>
      </c>
      <c r="CN11" s="173">
        <f t="shared" si="34"/>
        <v>0</v>
      </c>
      <c r="CO11" s="173">
        <f t="shared" si="35"/>
        <v>4001</v>
      </c>
      <c r="CP11" s="174">
        <f t="shared" si="36"/>
        <v>2452</v>
      </c>
      <c r="CQ11" s="174">
        <f t="shared" si="37"/>
        <v>1549</v>
      </c>
      <c r="CR11" s="91">
        <v>2755</v>
      </c>
      <c r="CS11" s="183">
        <f t="shared" si="12"/>
        <v>0</v>
      </c>
      <c r="CT11" s="184">
        <f t="shared" si="13"/>
        <v>110</v>
      </c>
      <c r="CU11" s="183">
        <f t="shared" si="38"/>
        <v>486</v>
      </c>
      <c r="CV11" s="185">
        <f t="shared" si="39"/>
        <v>82</v>
      </c>
      <c r="CW11" s="185">
        <f t="shared" si="14"/>
        <v>156</v>
      </c>
      <c r="CX11" s="185">
        <f t="shared" si="15"/>
        <v>1040</v>
      </c>
      <c r="CY11" s="185">
        <f t="shared" si="16"/>
        <v>178</v>
      </c>
      <c r="CZ11" s="184">
        <f t="shared" si="40"/>
        <v>703</v>
      </c>
      <c r="DA11" s="315">
        <f t="shared" si="41"/>
        <v>1921</v>
      </c>
      <c r="DC11" s="175">
        <f t="shared" si="17"/>
        <v>881</v>
      </c>
      <c r="DD11" s="177">
        <f t="shared" si="18"/>
        <v>724</v>
      </c>
      <c r="DE11" s="32">
        <f t="shared" si="42"/>
        <v>46090</v>
      </c>
      <c r="DF11" s="39">
        <f t="shared" si="43"/>
        <v>137</v>
      </c>
      <c r="DG11" s="39">
        <f t="shared" si="44"/>
        <v>4110</v>
      </c>
      <c r="DH11" s="39">
        <f t="shared" si="45"/>
        <v>9</v>
      </c>
      <c r="DI11" s="39">
        <f t="shared" si="46"/>
        <v>270</v>
      </c>
      <c r="DJ11" s="39">
        <f t="shared" si="47"/>
        <v>146</v>
      </c>
      <c r="DK11" s="39">
        <f t="shared" si="48"/>
        <v>4380</v>
      </c>
    </row>
    <row r="12" spans="1:142" ht="15.6">
      <c r="A12" s="32">
        <f t="shared" si="19"/>
        <v>46091</v>
      </c>
      <c r="B12" s="34"/>
      <c r="C12" s="4">
        <v>9</v>
      </c>
      <c r="D12" s="4">
        <v>171</v>
      </c>
      <c r="E12" s="4"/>
      <c r="F12" s="4">
        <f t="shared" si="20"/>
        <v>180</v>
      </c>
      <c r="G12" s="4">
        <f t="shared" si="0"/>
        <v>0</v>
      </c>
      <c r="H12" s="4">
        <f t="shared" si="1"/>
        <v>270</v>
      </c>
      <c r="I12" s="4">
        <f t="shared" si="2"/>
        <v>5130</v>
      </c>
      <c r="J12" s="4">
        <f t="shared" si="3"/>
        <v>0</v>
      </c>
      <c r="K12" s="30">
        <f t="shared" si="4"/>
        <v>5400</v>
      </c>
      <c r="L12" s="58">
        <f t="shared" si="5"/>
        <v>2000</v>
      </c>
      <c r="M12" s="206">
        <v>2</v>
      </c>
      <c r="N12" s="178">
        <v>19.100000000000001</v>
      </c>
      <c r="O12" s="178">
        <v>23</v>
      </c>
      <c r="P12" s="178">
        <v>141.1</v>
      </c>
      <c r="Q12" s="178">
        <v>11.85</v>
      </c>
      <c r="R12" s="178">
        <v>34.25</v>
      </c>
      <c r="S12" s="292">
        <v>9.6</v>
      </c>
      <c r="T12" s="292">
        <v>69</v>
      </c>
      <c r="U12" s="292">
        <v>32.1</v>
      </c>
      <c r="V12" s="292">
        <v>380</v>
      </c>
      <c r="W12" s="178">
        <f t="shared" si="21"/>
        <v>95</v>
      </c>
      <c r="X12" s="200">
        <v>10</v>
      </c>
      <c r="Y12" s="200">
        <v>3.4</v>
      </c>
      <c r="Z12" s="200">
        <v>7</v>
      </c>
      <c r="AA12" s="200">
        <v>91</v>
      </c>
      <c r="AB12" s="200">
        <v>2941.1000000000004</v>
      </c>
      <c r="AC12" s="200">
        <v>390</v>
      </c>
      <c r="AD12" s="178">
        <v>5.7</v>
      </c>
      <c r="AE12" s="178">
        <v>0</v>
      </c>
      <c r="AF12" s="178">
        <v>10</v>
      </c>
      <c r="AG12" s="178">
        <v>36</v>
      </c>
      <c r="AH12" s="178">
        <f t="shared" si="22"/>
        <v>1044</v>
      </c>
      <c r="AI12" s="178">
        <v>150</v>
      </c>
      <c r="AJ12" s="200">
        <v>2</v>
      </c>
      <c r="AK12" s="200">
        <v>10.6</v>
      </c>
      <c r="AL12" s="200">
        <v>34</v>
      </c>
      <c r="AM12" s="200">
        <v>203.8</v>
      </c>
      <c r="AN12" s="275">
        <v>0</v>
      </c>
      <c r="AO12" s="275">
        <v>203.8</v>
      </c>
      <c r="AP12" s="275">
        <f t="shared" si="23"/>
        <v>0</v>
      </c>
      <c r="AQ12" s="275">
        <v>481</v>
      </c>
      <c r="AR12" s="62">
        <v>3</v>
      </c>
      <c r="AS12" s="62">
        <v>244</v>
      </c>
      <c r="AT12" s="62">
        <v>74</v>
      </c>
      <c r="AU12" s="60">
        <v>2.1800000000000002</v>
      </c>
      <c r="AV12" s="62">
        <v>16.399999999999999</v>
      </c>
      <c r="AW12" s="62">
        <v>10.08</v>
      </c>
      <c r="AX12" s="62">
        <v>11</v>
      </c>
      <c r="AY12" s="62">
        <v>11</v>
      </c>
      <c r="AZ12" s="94">
        <v>1400</v>
      </c>
      <c r="BA12" s="94">
        <v>700</v>
      </c>
      <c r="BB12" s="95">
        <f t="shared" si="24"/>
        <v>700</v>
      </c>
      <c r="BC12" s="124">
        <v>9</v>
      </c>
      <c r="BD12" s="124">
        <v>6</v>
      </c>
      <c r="BE12" s="124">
        <v>500</v>
      </c>
      <c r="BF12" s="124">
        <v>250</v>
      </c>
      <c r="BG12" s="124">
        <v>250</v>
      </c>
      <c r="BH12" s="124">
        <v>1</v>
      </c>
      <c r="BI12" s="124">
        <v>6.7</v>
      </c>
      <c r="BJ12" s="124">
        <v>105</v>
      </c>
      <c r="BK12" s="124">
        <v>200</v>
      </c>
      <c r="BL12" s="124">
        <f t="shared" si="25"/>
        <v>305</v>
      </c>
      <c r="BM12" s="181">
        <f t="shared" si="6"/>
        <v>19.079999999999998</v>
      </c>
      <c r="BN12" s="181">
        <f t="shared" si="7"/>
        <v>20</v>
      </c>
      <c r="BO12" s="181">
        <f t="shared" si="8"/>
        <v>17</v>
      </c>
      <c r="BP12" s="181">
        <f t="shared" si="9"/>
        <v>1900</v>
      </c>
      <c r="BQ12" s="181">
        <f t="shared" si="26"/>
        <v>23.099999999999998</v>
      </c>
      <c r="BR12" s="181">
        <f t="shared" si="27"/>
        <v>349</v>
      </c>
      <c r="BS12" s="181">
        <f t="shared" si="28"/>
        <v>274</v>
      </c>
      <c r="BT12" s="181">
        <f t="shared" si="29"/>
        <v>623</v>
      </c>
      <c r="BU12" s="86">
        <v>6</v>
      </c>
      <c r="BV12" s="86">
        <v>500</v>
      </c>
      <c r="BW12" s="86">
        <v>1</v>
      </c>
      <c r="BX12" s="86">
        <v>7.2</v>
      </c>
      <c r="BY12" s="86">
        <v>76</v>
      </c>
      <c r="BZ12" s="86">
        <v>66</v>
      </c>
      <c r="CA12" s="86">
        <f t="shared" si="30"/>
        <v>142</v>
      </c>
      <c r="CB12" s="4">
        <f>2063-437</f>
        <v>1626</v>
      </c>
      <c r="CC12" s="4">
        <f>250-79</f>
        <v>171</v>
      </c>
      <c r="CD12" s="55">
        <f t="shared" si="31"/>
        <v>481</v>
      </c>
      <c r="CE12" s="4">
        <v>90</v>
      </c>
      <c r="CF12" s="4">
        <f t="shared" si="10"/>
        <v>390</v>
      </c>
      <c r="CG12" s="22">
        <f t="shared" si="11"/>
        <v>150</v>
      </c>
      <c r="CH12" s="4">
        <v>0</v>
      </c>
      <c r="CI12" s="4">
        <f>284-24</f>
        <v>260</v>
      </c>
      <c r="CJ12" s="4">
        <f t="shared" si="32"/>
        <v>380</v>
      </c>
      <c r="CK12" s="37">
        <f t="shared" si="33"/>
        <v>3548</v>
      </c>
      <c r="CL12" s="4">
        <v>2000</v>
      </c>
      <c r="CM12" s="174">
        <f t="shared" si="49"/>
        <v>1549</v>
      </c>
      <c r="CN12" s="173">
        <f t="shared" si="34"/>
        <v>2000</v>
      </c>
      <c r="CO12" s="173">
        <f t="shared" si="35"/>
        <v>3549</v>
      </c>
      <c r="CP12" s="174">
        <f t="shared" si="36"/>
        <v>3548</v>
      </c>
      <c r="CQ12" s="174">
        <f t="shared" si="37"/>
        <v>1</v>
      </c>
      <c r="CR12" s="91">
        <v>2826</v>
      </c>
      <c r="CS12" s="183">
        <f t="shared" si="12"/>
        <v>390</v>
      </c>
      <c r="CT12" s="184">
        <f t="shared" si="13"/>
        <v>150</v>
      </c>
      <c r="CU12" s="183">
        <f t="shared" si="38"/>
        <v>318</v>
      </c>
      <c r="CV12" s="185">
        <f t="shared" si="39"/>
        <v>305</v>
      </c>
      <c r="CW12" s="185">
        <f t="shared" si="14"/>
        <v>142</v>
      </c>
      <c r="CX12" s="185">
        <f t="shared" si="15"/>
        <v>380</v>
      </c>
      <c r="CY12" s="185">
        <f t="shared" si="16"/>
        <v>481</v>
      </c>
      <c r="CZ12" s="184">
        <f t="shared" si="40"/>
        <v>660</v>
      </c>
      <c r="DA12" s="315">
        <f t="shared" si="41"/>
        <v>1521</v>
      </c>
      <c r="DC12" s="175">
        <f t="shared" si="17"/>
        <v>1141</v>
      </c>
      <c r="DD12" s="177">
        <f t="shared" si="18"/>
        <v>765</v>
      </c>
      <c r="DE12" s="32">
        <f t="shared" si="42"/>
        <v>46091</v>
      </c>
      <c r="DF12" s="39">
        <f t="shared" si="43"/>
        <v>171</v>
      </c>
      <c r="DG12" s="39">
        <f t="shared" si="44"/>
        <v>5130</v>
      </c>
      <c r="DH12" s="39">
        <f t="shared" si="45"/>
        <v>9</v>
      </c>
      <c r="DI12" s="39">
        <f t="shared" si="46"/>
        <v>270</v>
      </c>
      <c r="DJ12" s="39">
        <f t="shared" si="47"/>
        <v>180</v>
      </c>
      <c r="DK12" s="39">
        <f t="shared" si="48"/>
        <v>5400</v>
      </c>
    </row>
    <row r="13" spans="1:142" ht="15.6">
      <c r="A13" s="32">
        <f t="shared" si="19"/>
        <v>46092</v>
      </c>
      <c r="B13" s="34"/>
      <c r="C13" s="4">
        <v>1</v>
      </c>
      <c r="D13" s="4">
        <v>108</v>
      </c>
      <c r="E13" s="4"/>
      <c r="F13" s="4">
        <f t="shared" si="20"/>
        <v>109</v>
      </c>
      <c r="G13" s="4">
        <f t="shared" si="0"/>
        <v>0</v>
      </c>
      <c r="H13" s="4">
        <f t="shared" si="1"/>
        <v>30</v>
      </c>
      <c r="I13" s="4">
        <f t="shared" si="2"/>
        <v>3240</v>
      </c>
      <c r="J13" s="4">
        <f t="shared" si="3"/>
        <v>0</v>
      </c>
      <c r="K13" s="30">
        <f t="shared" si="4"/>
        <v>3270</v>
      </c>
      <c r="L13" s="58">
        <f t="shared" si="5"/>
        <v>1212</v>
      </c>
      <c r="M13" s="206">
        <v>2</v>
      </c>
      <c r="N13" s="178">
        <v>15.4</v>
      </c>
      <c r="O13" s="178">
        <v>24</v>
      </c>
      <c r="P13" s="178">
        <v>130.30000000000001</v>
      </c>
      <c r="Q13" s="178">
        <v>47.8</v>
      </c>
      <c r="R13" s="178">
        <v>34.5</v>
      </c>
      <c r="S13" s="292">
        <v>7.4</v>
      </c>
      <c r="T13" s="292">
        <v>49</v>
      </c>
      <c r="U13" s="292">
        <v>20.3</v>
      </c>
      <c r="V13" s="292">
        <v>258</v>
      </c>
      <c r="W13" s="178">
        <f t="shared" si="21"/>
        <v>48.000000000000014</v>
      </c>
      <c r="X13" s="200">
        <v>7.3</v>
      </c>
      <c r="Y13" s="200">
        <v>3.8</v>
      </c>
      <c r="Z13" s="200">
        <v>7</v>
      </c>
      <c r="AA13" s="200">
        <v>93</v>
      </c>
      <c r="AB13" s="200">
        <v>2790.92</v>
      </c>
      <c r="AC13" s="200">
        <v>360</v>
      </c>
      <c r="AD13" s="178">
        <v>13.3</v>
      </c>
      <c r="AE13" s="178">
        <v>0</v>
      </c>
      <c r="AF13" s="178">
        <v>12</v>
      </c>
      <c r="AG13" s="178">
        <v>131</v>
      </c>
      <c r="AH13" s="178">
        <f t="shared" si="22"/>
        <v>3799</v>
      </c>
      <c r="AI13" s="178">
        <v>495</v>
      </c>
      <c r="AJ13" s="200">
        <v>2</v>
      </c>
      <c r="AK13" s="200">
        <v>8.6</v>
      </c>
      <c r="AL13" s="200">
        <v>22</v>
      </c>
      <c r="AM13" s="200">
        <v>128.6</v>
      </c>
      <c r="AN13" s="275">
        <v>0</v>
      </c>
      <c r="AO13" s="275">
        <v>128.6</v>
      </c>
      <c r="AP13" s="275">
        <f t="shared" si="23"/>
        <v>0</v>
      </c>
      <c r="AQ13" s="275">
        <v>124</v>
      </c>
      <c r="AR13" s="62">
        <v>4</v>
      </c>
      <c r="AS13" s="62">
        <v>481</v>
      </c>
      <c r="AT13" s="62">
        <v>7</v>
      </c>
      <c r="AU13" s="60">
        <v>0.68</v>
      </c>
      <c r="AV13" s="62">
        <v>29.4</v>
      </c>
      <c r="AW13" s="62">
        <v>10.38</v>
      </c>
      <c r="AX13" s="62">
        <v>11</v>
      </c>
      <c r="AY13" s="62">
        <v>12</v>
      </c>
      <c r="AZ13" s="94">
        <v>1400</v>
      </c>
      <c r="BA13" s="94">
        <v>700</v>
      </c>
      <c r="BB13" s="95">
        <f t="shared" si="24"/>
        <v>700</v>
      </c>
      <c r="BC13" s="124">
        <v>1</v>
      </c>
      <c r="BD13" s="124">
        <v>1.1000000000000001</v>
      </c>
      <c r="BE13" s="124">
        <v>120</v>
      </c>
      <c r="BF13" s="124">
        <v>60</v>
      </c>
      <c r="BG13" s="124">
        <v>60</v>
      </c>
      <c r="BH13" s="124">
        <v>1</v>
      </c>
      <c r="BI13" s="124">
        <v>3.2</v>
      </c>
      <c r="BJ13" s="124">
        <v>34</v>
      </c>
      <c r="BK13" s="124">
        <v>48</v>
      </c>
      <c r="BL13" s="124">
        <f t="shared" si="25"/>
        <v>82</v>
      </c>
      <c r="BM13" s="181">
        <f t="shared" si="6"/>
        <v>11.38</v>
      </c>
      <c r="BN13" s="181">
        <f t="shared" si="7"/>
        <v>12</v>
      </c>
      <c r="BO13" s="181">
        <f t="shared" si="8"/>
        <v>13.1</v>
      </c>
      <c r="BP13" s="181">
        <f t="shared" si="9"/>
        <v>1520</v>
      </c>
      <c r="BQ13" s="181">
        <f t="shared" si="26"/>
        <v>32.6</v>
      </c>
      <c r="BR13" s="181">
        <f t="shared" si="27"/>
        <v>515</v>
      </c>
      <c r="BS13" s="181">
        <f t="shared" si="28"/>
        <v>55</v>
      </c>
      <c r="BT13" s="181">
        <f t="shared" si="29"/>
        <v>570</v>
      </c>
      <c r="BU13" s="86">
        <v>5.2</v>
      </c>
      <c r="BV13" s="86">
        <v>400</v>
      </c>
      <c r="BW13" s="86">
        <v>1</v>
      </c>
      <c r="BX13" s="86">
        <v>8.1</v>
      </c>
      <c r="BY13" s="86">
        <v>85</v>
      </c>
      <c r="BZ13" s="86">
        <v>55</v>
      </c>
      <c r="CA13" s="86">
        <f t="shared" si="30"/>
        <v>140</v>
      </c>
      <c r="CB13" s="4">
        <v>2</v>
      </c>
      <c r="CC13" s="4">
        <f>602-90</f>
        <v>512</v>
      </c>
      <c r="CD13" s="55">
        <f t="shared" si="31"/>
        <v>124</v>
      </c>
      <c r="CE13" s="4">
        <v>91</v>
      </c>
      <c r="CF13" s="4">
        <f t="shared" si="10"/>
        <v>360</v>
      </c>
      <c r="CG13" s="22">
        <f t="shared" si="11"/>
        <v>495</v>
      </c>
      <c r="CH13" s="4">
        <v>0</v>
      </c>
      <c r="CI13" s="4">
        <v>110</v>
      </c>
      <c r="CJ13" s="4">
        <f t="shared" si="32"/>
        <v>258</v>
      </c>
      <c r="CK13" s="37">
        <f t="shared" si="33"/>
        <v>1952</v>
      </c>
      <c r="CL13" s="4">
        <v>3000</v>
      </c>
      <c r="CM13" s="174">
        <f t="shared" si="49"/>
        <v>1</v>
      </c>
      <c r="CN13" s="173">
        <f t="shared" si="34"/>
        <v>3000</v>
      </c>
      <c r="CO13" s="173">
        <f t="shared" si="35"/>
        <v>3001</v>
      </c>
      <c r="CP13" s="174">
        <f t="shared" si="36"/>
        <v>1952</v>
      </c>
      <c r="CQ13" s="174">
        <f t="shared" si="37"/>
        <v>1049</v>
      </c>
      <c r="CR13" s="91">
        <v>2981</v>
      </c>
      <c r="CS13" s="183">
        <f t="shared" si="12"/>
        <v>360</v>
      </c>
      <c r="CT13" s="184">
        <f t="shared" si="13"/>
        <v>495</v>
      </c>
      <c r="CU13" s="183">
        <f t="shared" si="38"/>
        <v>488</v>
      </c>
      <c r="CV13" s="185">
        <f t="shared" si="39"/>
        <v>82</v>
      </c>
      <c r="CW13" s="185">
        <f t="shared" si="14"/>
        <v>140</v>
      </c>
      <c r="CX13" s="185">
        <f t="shared" si="15"/>
        <v>258</v>
      </c>
      <c r="CY13" s="185">
        <f t="shared" si="16"/>
        <v>124</v>
      </c>
      <c r="CZ13" s="184">
        <f t="shared" si="40"/>
        <v>1034</v>
      </c>
      <c r="DA13" s="315">
        <f t="shared" si="41"/>
        <v>1416</v>
      </c>
      <c r="DC13" s="175">
        <f t="shared" si="17"/>
        <v>1158</v>
      </c>
      <c r="DD13" s="177">
        <f t="shared" si="18"/>
        <v>710</v>
      </c>
      <c r="DE13" s="32">
        <f t="shared" si="42"/>
        <v>46092</v>
      </c>
      <c r="DF13" s="39">
        <f t="shared" si="43"/>
        <v>108</v>
      </c>
      <c r="DG13" s="39">
        <f t="shared" si="44"/>
        <v>3240</v>
      </c>
      <c r="DH13" s="39">
        <f t="shared" si="45"/>
        <v>1</v>
      </c>
      <c r="DI13" s="39">
        <f t="shared" si="46"/>
        <v>30</v>
      </c>
      <c r="DJ13" s="39">
        <f t="shared" si="47"/>
        <v>109</v>
      </c>
      <c r="DK13" s="39">
        <f t="shared" si="48"/>
        <v>3270</v>
      </c>
    </row>
    <row r="14" spans="1:142" ht="15.6">
      <c r="A14" s="32">
        <f t="shared" si="19"/>
        <v>46093</v>
      </c>
      <c r="B14" s="34"/>
      <c r="C14" s="4"/>
      <c r="D14" s="4"/>
      <c r="E14" s="4"/>
      <c r="F14" s="4">
        <f t="shared" si="20"/>
        <v>0</v>
      </c>
      <c r="G14" s="4">
        <f t="shared" si="0"/>
        <v>0</v>
      </c>
      <c r="H14" s="4">
        <f t="shared" si="1"/>
        <v>0</v>
      </c>
      <c r="I14" s="4">
        <f t="shared" si="2"/>
        <v>0</v>
      </c>
      <c r="J14" s="4">
        <f t="shared" si="3"/>
        <v>0</v>
      </c>
      <c r="K14" s="30">
        <f t="shared" si="4"/>
        <v>0</v>
      </c>
      <c r="L14" s="58">
        <f t="shared" si="5"/>
        <v>0</v>
      </c>
      <c r="M14" s="206"/>
      <c r="N14" s="178"/>
      <c r="O14" s="178"/>
      <c r="P14" s="178"/>
      <c r="Q14" s="178">
        <v>9.8000000000000007</v>
      </c>
      <c r="R14" s="178">
        <v>0</v>
      </c>
      <c r="S14" s="292"/>
      <c r="T14" s="292"/>
      <c r="U14" s="292"/>
      <c r="V14" s="292"/>
      <c r="W14" s="178">
        <v>9.8000000000000007</v>
      </c>
      <c r="X14" s="200"/>
      <c r="Y14" s="200"/>
      <c r="Z14" s="200"/>
      <c r="AA14" s="200"/>
      <c r="AB14" s="200">
        <v>0</v>
      </c>
      <c r="AC14" s="200"/>
      <c r="AD14" s="178">
        <v>2.7</v>
      </c>
      <c r="AE14" s="178">
        <v>1.5</v>
      </c>
      <c r="AF14" s="178">
        <v>2</v>
      </c>
      <c r="AG14" s="178">
        <v>32</v>
      </c>
      <c r="AH14" s="178">
        <f t="shared" si="22"/>
        <v>928</v>
      </c>
      <c r="AI14" s="178">
        <v>140</v>
      </c>
      <c r="AJ14" s="200"/>
      <c r="AK14" s="200"/>
      <c r="AL14" s="200"/>
      <c r="AM14" s="200"/>
      <c r="AN14" s="275"/>
      <c r="AO14" s="275"/>
      <c r="AP14" s="275">
        <f t="shared" si="23"/>
        <v>0</v>
      </c>
      <c r="AQ14" s="275"/>
      <c r="AR14" s="62">
        <v>4</v>
      </c>
      <c r="AS14" s="62">
        <v>242</v>
      </c>
      <c r="AT14" s="62">
        <v>0</v>
      </c>
      <c r="AU14" s="60">
        <v>0</v>
      </c>
      <c r="AV14" s="62">
        <v>14.4</v>
      </c>
      <c r="AW14" s="62">
        <v>0</v>
      </c>
      <c r="AX14" s="62">
        <v>0</v>
      </c>
      <c r="AY14" s="62">
        <v>0</v>
      </c>
      <c r="AZ14" s="94">
        <v>0</v>
      </c>
      <c r="BA14" s="94">
        <v>0</v>
      </c>
      <c r="BB14" s="95">
        <f t="shared" si="24"/>
        <v>0</v>
      </c>
      <c r="BC14" s="124">
        <v>0</v>
      </c>
      <c r="BD14" s="124">
        <v>0</v>
      </c>
      <c r="BE14" s="124">
        <v>0</v>
      </c>
      <c r="BF14" s="124">
        <v>0</v>
      </c>
      <c r="BG14" s="124">
        <v>0</v>
      </c>
      <c r="BH14" s="124">
        <v>0</v>
      </c>
      <c r="BI14" s="124">
        <v>0</v>
      </c>
      <c r="BJ14" s="124">
        <v>0</v>
      </c>
      <c r="BK14" s="124">
        <v>0</v>
      </c>
      <c r="BL14" s="124">
        <f t="shared" si="25"/>
        <v>0</v>
      </c>
      <c r="BM14" s="181">
        <f t="shared" si="6"/>
        <v>0</v>
      </c>
      <c r="BN14" s="181">
        <f t="shared" si="7"/>
        <v>0</v>
      </c>
      <c r="BO14" s="181">
        <f t="shared" si="8"/>
        <v>0</v>
      </c>
      <c r="BP14" s="181">
        <f t="shared" si="9"/>
        <v>0</v>
      </c>
      <c r="BQ14" s="181">
        <f t="shared" si="26"/>
        <v>14.4</v>
      </c>
      <c r="BR14" s="181">
        <f t="shared" si="27"/>
        <v>242</v>
      </c>
      <c r="BS14" s="181">
        <f t="shared" si="28"/>
        <v>0</v>
      </c>
      <c r="BT14" s="181">
        <f t="shared" si="29"/>
        <v>242</v>
      </c>
      <c r="BU14" s="86"/>
      <c r="BV14" s="86"/>
      <c r="BW14" s="86"/>
      <c r="BX14" s="86"/>
      <c r="BY14" s="86"/>
      <c r="BZ14" s="86"/>
      <c r="CA14" s="86">
        <f t="shared" si="30"/>
        <v>0</v>
      </c>
      <c r="CB14" s="4">
        <v>60</v>
      </c>
      <c r="CC14" s="4">
        <v>231</v>
      </c>
      <c r="CD14" s="55">
        <f t="shared" si="31"/>
        <v>0</v>
      </c>
      <c r="CE14" s="4">
        <v>50</v>
      </c>
      <c r="CF14" s="4">
        <f t="shared" si="10"/>
        <v>0</v>
      </c>
      <c r="CG14" s="22">
        <f t="shared" si="11"/>
        <v>140</v>
      </c>
      <c r="CH14" s="4">
        <v>0</v>
      </c>
      <c r="CI14" s="4">
        <v>0</v>
      </c>
      <c r="CJ14" s="4">
        <f t="shared" si="32"/>
        <v>0</v>
      </c>
      <c r="CK14" s="37">
        <f t="shared" si="33"/>
        <v>481</v>
      </c>
      <c r="CL14" s="4">
        <v>0</v>
      </c>
      <c r="CM14" s="174">
        <f t="shared" si="49"/>
        <v>1049</v>
      </c>
      <c r="CN14" s="173">
        <f t="shared" si="34"/>
        <v>0</v>
      </c>
      <c r="CO14" s="173">
        <f t="shared" si="35"/>
        <v>1049</v>
      </c>
      <c r="CP14" s="174">
        <f t="shared" si="36"/>
        <v>481</v>
      </c>
      <c r="CQ14" s="174">
        <f t="shared" si="37"/>
        <v>568</v>
      </c>
      <c r="CR14" s="91">
        <v>391</v>
      </c>
      <c r="CS14" s="183">
        <f t="shared" si="12"/>
        <v>0</v>
      </c>
      <c r="CT14" s="184">
        <f t="shared" si="13"/>
        <v>140</v>
      </c>
      <c r="CU14" s="183">
        <f t="shared" si="38"/>
        <v>242</v>
      </c>
      <c r="CV14" s="185">
        <f t="shared" si="39"/>
        <v>0</v>
      </c>
      <c r="CW14" s="185">
        <f t="shared" si="14"/>
        <v>0</v>
      </c>
      <c r="CX14" s="185">
        <f t="shared" si="15"/>
        <v>0</v>
      </c>
      <c r="CY14" s="185">
        <f t="shared" si="16"/>
        <v>0</v>
      </c>
      <c r="CZ14" s="184">
        <f t="shared" si="40"/>
        <v>9</v>
      </c>
      <c r="DA14" s="315">
        <f t="shared" si="41"/>
        <v>9</v>
      </c>
      <c r="DB14" s="287"/>
      <c r="DC14" s="175">
        <f t="shared" si="17"/>
        <v>9</v>
      </c>
      <c r="DD14" s="177">
        <f t="shared" si="18"/>
        <v>242</v>
      </c>
      <c r="DE14" s="32">
        <f t="shared" si="42"/>
        <v>46093</v>
      </c>
      <c r="DF14" s="39">
        <f t="shared" si="43"/>
        <v>0</v>
      </c>
      <c r="DG14" s="39">
        <f t="shared" si="44"/>
        <v>0</v>
      </c>
      <c r="DH14" s="39">
        <f t="shared" si="45"/>
        <v>0</v>
      </c>
      <c r="DI14" s="39">
        <f t="shared" si="46"/>
        <v>0</v>
      </c>
      <c r="DJ14" s="39">
        <f t="shared" si="47"/>
        <v>0</v>
      </c>
      <c r="DK14" s="39">
        <f t="shared" si="48"/>
        <v>0</v>
      </c>
    </row>
    <row r="15" spans="1:142" ht="15.6">
      <c r="A15" s="33">
        <f t="shared" si="19"/>
        <v>46094</v>
      </c>
      <c r="B15" s="35"/>
      <c r="C15" s="23"/>
      <c r="D15" s="23">
        <v>136</v>
      </c>
      <c r="E15" s="23"/>
      <c r="F15" s="4">
        <f t="shared" si="20"/>
        <v>136</v>
      </c>
      <c r="G15" s="23">
        <f t="shared" si="0"/>
        <v>0</v>
      </c>
      <c r="H15" s="23">
        <f t="shared" si="1"/>
        <v>0</v>
      </c>
      <c r="I15" s="23">
        <f t="shared" si="2"/>
        <v>4080</v>
      </c>
      <c r="J15" s="23">
        <f t="shared" si="3"/>
        <v>0</v>
      </c>
      <c r="K15" s="24">
        <f t="shared" si="4"/>
        <v>4080</v>
      </c>
      <c r="L15" s="58">
        <f t="shared" si="5"/>
        <v>1512</v>
      </c>
      <c r="M15" s="209">
        <v>3</v>
      </c>
      <c r="N15" s="178">
        <v>23.9</v>
      </c>
      <c r="O15" s="178">
        <v>20</v>
      </c>
      <c r="P15" s="178">
        <v>133.58000000000001</v>
      </c>
      <c r="Q15" s="178">
        <v>37.75</v>
      </c>
      <c r="R15" s="178">
        <v>33.700000000000003</v>
      </c>
      <c r="S15" s="292">
        <v>8.9</v>
      </c>
      <c r="T15" s="292">
        <v>68</v>
      </c>
      <c r="U15" s="292">
        <v>23.6</v>
      </c>
      <c r="V15" s="292">
        <v>382</v>
      </c>
      <c r="W15" s="178">
        <f t="shared" si="21"/>
        <v>62.13000000000001</v>
      </c>
      <c r="X15" s="200">
        <v>5.9</v>
      </c>
      <c r="Y15" s="200">
        <v>6.1</v>
      </c>
      <c r="Z15" s="200">
        <v>6</v>
      </c>
      <c r="AA15" s="200">
        <v>77</v>
      </c>
      <c r="AB15" s="200">
        <v>2552.14</v>
      </c>
      <c r="AC15" s="200">
        <v>390</v>
      </c>
      <c r="AD15" s="178">
        <v>10.4</v>
      </c>
      <c r="AE15" s="178">
        <v>0</v>
      </c>
      <c r="AF15" s="178">
        <v>8</v>
      </c>
      <c r="AG15" s="178">
        <v>120</v>
      </c>
      <c r="AH15" s="178">
        <f t="shared" si="22"/>
        <v>3480</v>
      </c>
      <c r="AI15" s="178">
        <v>425</v>
      </c>
      <c r="AJ15" s="200">
        <v>2</v>
      </c>
      <c r="AK15" s="200">
        <v>11</v>
      </c>
      <c r="AL15" s="200">
        <v>18</v>
      </c>
      <c r="AM15" s="200">
        <v>145.69999999999999</v>
      </c>
      <c r="AN15" s="275">
        <v>0</v>
      </c>
      <c r="AO15" s="275">
        <v>145.69999999999999</v>
      </c>
      <c r="AP15" s="275">
        <f t="shared" si="23"/>
        <v>0</v>
      </c>
      <c r="AQ15" s="277">
        <v>418</v>
      </c>
      <c r="AR15" s="96">
        <v>3</v>
      </c>
      <c r="AS15" s="96">
        <v>392</v>
      </c>
      <c r="AT15" s="96">
        <v>0</v>
      </c>
      <c r="AU15" s="97">
        <v>0</v>
      </c>
      <c r="AV15" s="96">
        <v>26.5</v>
      </c>
      <c r="AW15" s="96">
        <v>8.2200000000000006</v>
      </c>
      <c r="AX15" s="96">
        <v>9</v>
      </c>
      <c r="AY15" s="96">
        <v>9</v>
      </c>
      <c r="AZ15" s="98">
        <v>1000</v>
      </c>
      <c r="BA15" s="94">
        <v>500</v>
      </c>
      <c r="BB15" s="95">
        <f t="shared" si="24"/>
        <v>500</v>
      </c>
      <c r="BC15" s="124">
        <v>11</v>
      </c>
      <c r="BD15" s="124">
        <v>9.3000000000000007</v>
      </c>
      <c r="BE15" s="124">
        <v>500</v>
      </c>
      <c r="BF15" s="124">
        <v>250</v>
      </c>
      <c r="BG15" s="124">
        <v>250</v>
      </c>
      <c r="BH15" s="125">
        <v>1</v>
      </c>
      <c r="BI15" s="125">
        <v>8.6999999999999993</v>
      </c>
      <c r="BJ15" s="125">
        <v>105</v>
      </c>
      <c r="BK15" s="125">
        <v>362</v>
      </c>
      <c r="BL15" s="124">
        <f t="shared" si="25"/>
        <v>467</v>
      </c>
      <c r="BM15" s="181">
        <f t="shared" si="6"/>
        <v>19.22</v>
      </c>
      <c r="BN15" s="181">
        <f t="shared" si="7"/>
        <v>20</v>
      </c>
      <c r="BO15" s="181">
        <f t="shared" si="8"/>
        <v>18.3</v>
      </c>
      <c r="BP15" s="181">
        <f t="shared" si="9"/>
        <v>1500</v>
      </c>
      <c r="BQ15" s="181">
        <f t="shared" si="26"/>
        <v>35.200000000000003</v>
      </c>
      <c r="BR15" s="181">
        <f t="shared" si="27"/>
        <v>497</v>
      </c>
      <c r="BS15" s="181">
        <f t="shared" si="28"/>
        <v>362</v>
      </c>
      <c r="BT15" s="181">
        <f t="shared" si="29"/>
        <v>859</v>
      </c>
      <c r="BU15" s="171">
        <v>6.1</v>
      </c>
      <c r="BV15" s="171">
        <v>500</v>
      </c>
      <c r="BW15" s="86">
        <v>1</v>
      </c>
      <c r="BX15" s="86">
        <v>9</v>
      </c>
      <c r="BY15" s="86">
        <v>100</v>
      </c>
      <c r="BZ15" s="86">
        <v>66</v>
      </c>
      <c r="CA15" s="86">
        <f t="shared" si="30"/>
        <v>166</v>
      </c>
      <c r="CB15" s="23">
        <f>1306-730</f>
        <v>576</v>
      </c>
      <c r="CC15" s="23">
        <f>566-85</f>
        <v>481</v>
      </c>
      <c r="CD15" s="55">
        <f t="shared" si="31"/>
        <v>418</v>
      </c>
      <c r="CE15" s="23">
        <v>286</v>
      </c>
      <c r="CF15" s="4">
        <f t="shared" si="10"/>
        <v>390</v>
      </c>
      <c r="CG15" s="22">
        <f t="shared" si="11"/>
        <v>425</v>
      </c>
      <c r="CH15" s="23">
        <v>700</v>
      </c>
      <c r="CI15" s="23">
        <v>100</v>
      </c>
      <c r="CJ15" s="4">
        <f t="shared" si="32"/>
        <v>382</v>
      </c>
      <c r="CK15" s="37">
        <f t="shared" si="33"/>
        <v>3758</v>
      </c>
      <c r="CL15" s="23">
        <v>4000</v>
      </c>
      <c r="CM15" s="174">
        <f t="shared" si="49"/>
        <v>568</v>
      </c>
      <c r="CN15" s="173">
        <f t="shared" si="34"/>
        <v>4000</v>
      </c>
      <c r="CO15" s="173">
        <f t="shared" si="35"/>
        <v>4568</v>
      </c>
      <c r="CP15" s="174">
        <f t="shared" si="36"/>
        <v>3758</v>
      </c>
      <c r="CQ15" s="174">
        <f t="shared" si="37"/>
        <v>810</v>
      </c>
      <c r="CR15" s="91">
        <v>3585</v>
      </c>
      <c r="CS15" s="183">
        <f t="shared" si="12"/>
        <v>390</v>
      </c>
      <c r="CT15" s="184">
        <f t="shared" si="13"/>
        <v>425</v>
      </c>
      <c r="CU15" s="183">
        <f t="shared" si="38"/>
        <v>392</v>
      </c>
      <c r="CV15" s="185">
        <f t="shared" si="39"/>
        <v>467</v>
      </c>
      <c r="CW15" s="185">
        <f t="shared" si="14"/>
        <v>166</v>
      </c>
      <c r="CX15" s="185">
        <f t="shared" ref="CX15:CX33" si="50">V15</f>
        <v>382</v>
      </c>
      <c r="CY15" s="185">
        <f t="shared" si="16"/>
        <v>418</v>
      </c>
      <c r="CZ15" s="184">
        <f>CR15-CS15-CT15-CU15-CV15-CW15-CY15-CX15</f>
        <v>945</v>
      </c>
      <c r="DA15" s="315">
        <f t="shared" si="41"/>
        <v>1745</v>
      </c>
      <c r="DB15" s="70">
        <v>7576</v>
      </c>
      <c r="DC15" s="175">
        <f t="shared" si="17"/>
        <v>1363</v>
      </c>
      <c r="DD15" s="177">
        <f t="shared" si="18"/>
        <v>1025</v>
      </c>
      <c r="DE15" s="33">
        <f t="shared" si="42"/>
        <v>46094</v>
      </c>
      <c r="DF15" s="39">
        <f t="shared" si="43"/>
        <v>136</v>
      </c>
      <c r="DG15" s="39">
        <f t="shared" si="44"/>
        <v>4080</v>
      </c>
      <c r="DH15" s="39">
        <f t="shared" si="45"/>
        <v>0</v>
      </c>
      <c r="DI15" s="39">
        <f t="shared" si="46"/>
        <v>0</v>
      </c>
      <c r="DJ15" s="39">
        <f t="shared" si="47"/>
        <v>136</v>
      </c>
      <c r="DK15" s="39">
        <f t="shared" si="48"/>
        <v>4080</v>
      </c>
    </row>
    <row r="16" spans="1:142" s="39" customFormat="1" ht="15.6">
      <c r="A16" s="32">
        <f t="shared" si="19"/>
        <v>46095</v>
      </c>
      <c r="B16" s="4"/>
      <c r="C16" s="4"/>
      <c r="D16" s="4">
        <v>147</v>
      </c>
      <c r="E16" s="4"/>
      <c r="F16" s="4">
        <f t="shared" si="20"/>
        <v>147</v>
      </c>
      <c r="G16" s="4">
        <f t="shared" si="0"/>
        <v>0</v>
      </c>
      <c r="H16" s="4">
        <f t="shared" si="1"/>
        <v>0</v>
      </c>
      <c r="I16" s="4">
        <f t="shared" si="2"/>
        <v>4410</v>
      </c>
      <c r="J16" s="4">
        <f t="shared" si="3"/>
        <v>0</v>
      </c>
      <c r="K16" s="30">
        <f t="shared" si="4"/>
        <v>4410</v>
      </c>
      <c r="L16" s="58">
        <f t="shared" si="5"/>
        <v>1634</v>
      </c>
      <c r="M16" s="206">
        <v>2</v>
      </c>
      <c r="N16" s="178">
        <v>19</v>
      </c>
      <c r="O16" s="178">
        <v>21</v>
      </c>
      <c r="P16" s="178">
        <v>158.57</v>
      </c>
      <c r="Q16" s="178">
        <v>38.549999999999997</v>
      </c>
      <c r="R16" s="178">
        <v>48.87</v>
      </c>
      <c r="S16" s="292">
        <v>9.5</v>
      </c>
      <c r="T16" s="292">
        <v>70</v>
      </c>
      <c r="U16" s="292">
        <v>26.8</v>
      </c>
      <c r="V16" s="292">
        <v>513</v>
      </c>
      <c r="W16" s="178">
        <f t="shared" si="21"/>
        <v>71.150000000000006</v>
      </c>
      <c r="X16" s="200">
        <v>6.5</v>
      </c>
      <c r="Y16" s="200">
        <v>7.5</v>
      </c>
      <c r="Z16" s="200">
        <v>7</v>
      </c>
      <c r="AA16" s="200">
        <v>105</v>
      </c>
      <c r="AB16" s="200">
        <v>3284.0099999999993</v>
      </c>
      <c r="AC16" s="200">
        <v>510</v>
      </c>
      <c r="AD16" s="178">
        <v>10.7</v>
      </c>
      <c r="AE16" s="178">
        <v>0</v>
      </c>
      <c r="AF16" s="178">
        <v>6</v>
      </c>
      <c r="AG16" s="178">
        <v>130</v>
      </c>
      <c r="AH16" s="178">
        <f t="shared" si="22"/>
        <v>3770</v>
      </c>
      <c r="AI16" s="178">
        <v>490</v>
      </c>
      <c r="AJ16" s="200">
        <v>2</v>
      </c>
      <c r="AK16" s="200">
        <v>11.2</v>
      </c>
      <c r="AL16" s="200">
        <v>159</v>
      </c>
      <c r="AM16" s="200">
        <v>159</v>
      </c>
      <c r="AN16" s="275"/>
      <c r="AO16" s="275">
        <v>159</v>
      </c>
      <c r="AP16" s="275">
        <f t="shared" si="23"/>
        <v>0</v>
      </c>
      <c r="AQ16" s="275">
        <v>358</v>
      </c>
      <c r="AR16" s="62">
        <v>3</v>
      </c>
      <c r="AS16" s="62">
        <v>291</v>
      </c>
      <c r="AT16" s="62">
        <v>0</v>
      </c>
      <c r="AU16" s="60">
        <v>0</v>
      </c>
      <c r="AV16" s="62">
        <v>22.8</v>
      </c>
      <c r="AW16" s="62">
        <v>11.44</v>
      </c>
      <c r="AX16" s="62">
        <v>12</v>
      </c>
      <c r="AY16" s="62">
        <v>12</v>
      </c>
      <c r="AZ16" s="94">
        <v>1800</v>
      </c>
      <c r="BA16" s="94">
        <v>900</v>
      </c>
      <c r="BB16" s="95">
        <f t="shared" si="24"/>
        <v>900</v>
      </c>
      <c r="BC16" s="124">
        <v>0</v>
      </c>
      <c r="BD16" s="124">
        <v>0</v>
      </c>
      <c r="BE16" s="124">
        <v>0</v>
      </c>
      <c r="BF16" s="124">
        <v>0</v>
      </c>
      <c r="BG16" s="124">
        <v>0</v>
      </c>
      <c r="BH16" s="124">
        <v>0</v>
      </c>
      <c r="BI16" s="124">
        <v>0</v>
      </c>
      <c r="BJ16" s="124">
        <v>0</v>
      </c>
      <c r="BK16" s="124">
        <v>0</v>
      </c>
      <c r="BL16" s="124">
        <f t="shared" si="25"/>
        <v>0</v>
      </c>
      <c r="BM16" s="181">
        <f t="shared" si="6"/>
        <v>11.44</v>
      </c>
      <c r="BN16" s="181">
        <f t="shared" si="7"/>
        <v>12</v>
      </c>
      <c r="BO16" s="181">
        <f t="shared" si="8"/>
        <v>12</v>
      </c>
      <c r="BP16" s="181">
        <f t="shared" si="9"/>
        <v>1800</v>
      </c>
      <c r="BQ16" s="181">
        <f t="shared" si="26"/>
        <v>22.8</v>
      </c>
      <c r="BR16" s="181">
        <f t="shared" si="27"/>
        <v>291</v>
      </c>
      <c r="BS16" s="181">
        <f t="shared" si="28"/>
        <v>0</v>
      </c>
      <c r="BT16" s="181">
        <f t="shared" si="29"/>
        <v>291</v>
      </c>
      <c r="BU16" s="86">
        <v>5.3</v>
      </c>
      <c r="BV16" s="86">
        <v>400</v>
      </c>
      <c r="BW16" s="86">
        <v>1</v>
      </c>
      <c r="BX16" s="86">
        <v>7</v>
      </c>
      <c r="BY16" s="86">
        <v>70</v>
      </c>
      <c r="BZ16" s="86">
        <v>55</v>
      </c>
      <c r="CA16" s="86">
        <f t="shared" si="30"/>
        <v>125</v>
      </c>
      <c r="CB16" s="4">
        <f>1066-875</f>
        <v>191</v>
      </c>
      <c r="CC16" s="4">
        <f>500-125</f>
        <v>375</v>
      </c>
      <c r="CD16" s="55">
        <f t="shared" si="31"/>
        <v>358</v>
      </c>
      <c r="CE16" s="4">
        <v>23</v>
      </c>
      <c r="CF16" s="4">
        <f t="shared" si="10"/>
        <v>510</v>
      </c>
      <c r="CG16" s="22">
        <f t="shared" si="11"/>
        <v>490</v>
      </c>
      <c r="CH16" s="4">
        <v>0</v>
      </c>
      <c r="CI16" s="4">
        <v>150</v>
      </c>
      <c r="CJ16" s="4">
        <f t="shared" si="32"/>
        <v>513</v>
      </c>
      <c r="CK16" s="37">
        <f t="shared" si="33"/>
        <v>2610</v>
      </c>
      <c r="CL16" s="4">
        <v>2123</v>
      </c>
      <c r="CM16" s="174">
        <f t="shared" si="49"/>
        <v>810</v>
      </c>
      <c r="CN16" s="173">
        <f t="shared" si="34"/>
        <v>2123</v>
      </c>
      <c r="CO16" s="173">
        <f t="shared" si="35"/>
        <v>2933</v>
      </c>
      <c r="CP16" s="174">
        <f t="shared" si="36"/>
        <v>2610</v>
      </c>
      <c r="CQ16" s="174">
        <f t="shared" si="37"/>
        <v>323</v>
      </c>
      <c r="CR16" s="91">
        <v>2802</v>
      </c>
      <c r="CS16" s="183">
        <f t="shared" si="12"/>
        <v>510</v>
      </c>
      <c r="CT16" s="184">
        <f t="shared" si="13"/>
        <v>490</v>
      </c>
      <c r="CU16" s="183">
        <f t="shared" si="38"/>
        <v>291</v>
      </c>
      <c r="CV16" s="185">
        <f t="shared" si="39"/>
        <v>0</v>
      </c>
      <c r="CW16" s="185">
        <f t="shared" si="14"/>
        <v>125</v>
      </c>
      <c r="CX16" s="185">
        <f t="shared" si="50"/>
        <v>513</v>
      </c>
      <c r="CY16" s="185">
        <f t="shared" si="16"/>
        <v>358</v>
      </c>
      <c r="CZ16" s="184">
        <f t="shared" ref="CZ16:CZ33" si="51">CR16-CS16-CT16-CU16-CV16-CW16-CY16-CX16</f>
        <v>515</v>
      </c>
      <c r="DA16" s="315">
        <f t="shared" si="41"/>
        <v>1386</v>
      </c>
      <c r="DB16" s="70"/>
      <c r="DC16" s="175">
        <f t="shared" si="17"/>
        <v>873</v>
      </c>
      <c r="DD16" s="177">
        <f t="shared" si="18"/>
        <v>416</v>
      </c>
      <c r="DE16" s="32">
        <f t="shared" si="42"/>
        <v>46095</v>
      </c>
      <c r="DF16" s="39">
        <f t="shared" si="43"/>
        <v>147</v>
      </c>
      <c r="DG16" s="39">
        <f t="shared" si="44"/>
        <v>4410</v>
      </c>
      <c r="DH16" s="39">
        <f t="shared" si="45"/>
        <v>0</v>
      </c>
      <c r="DI16" s="39">
        <f t="shared" si="46"/>
        <v>0</v>
      </c>
      <c r="DJ16" s="39">
        <f t="shared" si="47"/>
        <v>147</v>
      </c>
      <c r="DK16" s="39">
        <f t="shared" si="48"/>
        <v>4410</v>
      </c>
      <c r="DL16"/>
      <c r="DM16"/>
      <c r="DN16"/>
      <c r="DO16"/>
      <c r="DP16"/>
      <c r="DQ16"/>
      <c r="DR16"/>
      <c r="DS16"/>
      <c r="DT16"/>
      <c r="DU16"/>
      <c r="DV16"/>
      <c r="DW16"/>
      <c r="DX16"/>
      <c r="DY16"/>
      <c r="DZ16"/>
      <c r="EA16"/>
      <c r="EB16"/>
      <c r="EC16"/>
      <c r="ED16"/>
      <c r="EE16"/>
      <c r="EF16"/>
      <c r="EG16"/>
      <c r="EH16"/>
      <c r="EI16"/>
      <c r="EJ16"/>
      <c r="EK16"/>
      <c r="EL16"/>
    </row>
    <row r="17" spans="1:115" ht="15.6">
      <c r="A17" s="32">
        <f t="shared" si="19"/>
        <v>46096</v>
      </c>
      <c r="B17" s="4">
        <v>14</v>
      </c>
      <c r="C17" s="4">
        <v>13</v>
      </c>
      <c r="D17" s="4">
        <v>91</v>
      </c>
      <c r="E17" s="4"/>
      <c r="F17" s="4">
        <f t="shared" si="20"/>
        <v>118</v>
      </c>
      <c r="G17" s="4">
        <f t="shared" si="0"/>
        <v>420</v>
      </c>
      <c r="H17" s="4">
        <f t="shared" si="1"/>
        <v>390</v>
      </c>
      <c r="I17" s="4">
        <f t="shared" si="2"/>
        <v>2730</v>
      </c>
      <c r="J17" s="4">
        <f t="shared" si="3"/>
        <v>0</v>
      </c>
      <c r="K17" s="30">
        <f t="shared" si="4"/>
        <v>3540</v>
      </c>
      <c r="L17" s="58">
        <f t="shared" si="5"/>
        <v>1312</v>
      </c>
      <c r="M17" s="206">
        <v>3</v>
      </c>
      <c r="N17" s="178">
        <v>16.899999999999999</v>
      </c>
      <c r="O17" s="178">
        <v>20</v>
      </c>
      <c r="P17" s="178">
        <v>153.1</v>
      </c>
      <c r="Q17" s="178">
        <v>41.8</v>
      </c>
      <c r="R17" s="178">
        <v>24.9</v>
      </c>
      <c r="S17" s="292">
        <v>8.3000000000000007</v>
      </c>
      <c r="T17" s="292">
        <v>61</v>
      </c>
      <c r="U17" s="292">
        <v>27.2</v>
      </c>
      <c r="V17" s="292">
        <v>228</v>
      </c>
      <c r="W17" s="178">
        <f t="shared" si="21"/>
        <v>86.4</v>
      </c>
      <c r="X17" s="200">
        <v>4</v>
      </c>
      <c r="Y17" s="200">
        <v>4.2</v>
      </c>
      <c r="Z17" s="200">
        <v>6</v>
      </c>
      <c r="AA17" s="200">
        <v>44</v>
      </c>
      <c r="AB17" s="200">
        <v>1501.81</v>
      </c>
      <c r="AC17" s="200">
        <v>265</v>
      </c>
      <c r="AD17" s="178">
        <v>11.5</v>
      </c>
      <c r="AE17" s="178">
        <v>0</v>
      </c>
      <c r="AF17" s="178">
        <v>6</v>
      </c>
      <c r="AG17" s="178">
        <v>110</v>
      </c>
      <c r="AH17" s="178">
        <f t="shared" si="22"/>
        <v>3190</v>
      </c>
      <c r="AI17" s="178">
        <v>355</v>
      </c>
      <c r="AJ17" s="200">
        <v>3</v>
      </c>
      <c r="AK17" s="200">
        <v>13.8</v>
      </c>
      <c r="AL17" s="200">
        <v>49</v>
      </c>
      <c r="AM17" s="200">
        <v>235.1</v>
      </c>
      <c r="AN17" s="275">
        <v>0</v>
      </c>
      <c r="AO17" s="275">
        <v>235.1</v>
      </c>
      <c r="AP17" s="275">
        <f t="shared" si="23"/>
        <v>0</v>
      </c>
      <c r="AQ17" s="275">
        <v>451</v>
      </c>
      <c r="AR17" s="62">
        <v>3</v>
      </c>
      <c r="AS17" s="62">
        <v>410</v>
      </c>
      <c r="AT17" s="62">
        <v>0</v>
      </c>
      <c r="AU17" s="60">
        <v>0</v>
      </c>
      <c r="AV17" s="62">
        <v>27.6</v>
      </c>
      <c r="AW17" s="62">
        <v>11.74</v>
      </c>
      <c r="AX17" s="62">
        <v>12</v>
      </c>
      <c r="AY17" s="62">
        <v>13</v>
      </c>
      <c r="AZ17" s="94">
        <v>1900</v>
      </c>
      <c r="BA17" s="94">
        <v>950</v>
      </c>
      <c r="BB17" s="95">
        <f t="shared" si="24"/>
        <v>950</v>
      </c>
      <c r="BC17" s="124">
        <v>0</v>
      </c>
      <c r="BD17" s="124">
        <v>0</v>
      </c>
      <c r="BE17" s="124">
        <v>0</v>
      </c>
      <c r="BF17" s="124">
        <v>0</v>
      </c>
      <c r="BG17" s="124">
        <v>0</v>
      </c>
      <c r="BH17" s="124">
        <v>0</v>
      </c>
      <c r="BI17" s="124">
        <v>0</v>
      </c>
      <c r="BJ17" s="124">
        <v>0</v>
      </c>
      <c r="BK17" s="124">
        <v>0</v>
      </c>
      <c r="BL17" s="124">
        <f t="shared" si="25"/>
        <v>0</v>
      </c>
      <c r="BM17" s="181">
        <f t="shared" si="6"/>
        <v>11.74</v>
      </c>
      <c r="BN17" s="181">
        <f t="shared" si="7"/>
        <v>12</v>
      </c>
      <c r="BO17" s="181">
        <f t="shared" si="8"/>
        <v>13</v>
      </c>
      <c r="BP17" s="181">
        <f t="shared" si="9"/>
        <v>1900</v>
      </c>
      <c r="BQ17" s="181">
        <f t="shared" si="26"/>
        <v>27.6</v>
      </c>
      <c r="BR17" s="181">
        <f t="shared" si="27"/>
        <v>410</v>
      </c>
      <c r="BS17" s="181">
        <f t="shared" si="28"/>
        <v>0</v>
      </c>
      <c r="BT17" s="181">
        <f t="shared" si="29"/>
        <v>410</v>
      </c>
      <c r="BU17" s="86">
        <v>5.4</v>
      </c>
      <c r="BV17" s="86">
        <v>400</v>
      </c>
      <c r="BW17" s="86">
        <v>1</v>
      </c>
      <c r="BX17" s="86">
        <v>14.4</v>
      </c>
      <c r="BY17" s="86">
        <v>110</v>
      </c>
      <c r="BZ17" s="86">
        <v>60</v>
      </c>
      <c r="CA17" s="86">
        <f t="shared" si="30"/>
        <v>170</v>
      </c>
      <c r="CB17" s="13">
        <f>652-551</f>
        <v>101</v>
      </c>
      <c r="CC17" s="4">
        <v>400</v>
      </c>
      <c r="CD17" s="55">
        <f t="shared" si="31"/>
        <v>451</v>
      </c>
      <c r="CE17" s="4">
        <v>50</v>
      </c>
      <c r="CF17" s="4">
        <f t="shared" ref="CF17" si="52">AC17</f>
        <v>265</v>
      </c>
      <c r="CG17" s="22">
        <f t="shared" ref="CG17" si="53">AI17</f>
        <v>355</v>
      </c>
      <c r="CH17" s="37">
        <v>0</v>
      </c>
      <c r="CI17" s="4">
        <v>200</v>
      </c>
      <c r="CJ17" s="4">
        <f t="shared" si="32"/>
        <v>228</v>
      </c>
      <c r="CK17" s="37">
        <f t="shared" si="33"/>
        <v>2050</v>
      </c>
      <c r="CL17" s="4">
        <v>3090</v>
      </c>
      <c r="CM17" s="174">
        <f t="shared" si="49"/>
        <v>323</v>
      </c>
      <c r="CN17" s="173">
        <f t="shared" si="34"/>
        <v>3090</v>
      </c>
      <c r="CO17" s="173">
        <f t="shared" si="35"/>
        <v>3413</v>
      </c>
      <c r="CP17" s="174">
        <f t="shared" si="36"/>
        <v>2050</v>
      </c>
      <c r="CQ17" s="174">
        <f t="shared" si="37"/>
        <v>1363</v>
      </c>
      <c r="CR17" s="91">
        <v>3346</v>
      </c>
      <c r="CS17" s="183">
        <f t="shared" si="12"/>
        <v>265</v>
      </c>
      <c r="CT17" s="184">
        <f t="shared" si="13"/>
        <v>355</v>
      </c>
      <c r="CU17" s="183">
        <f t="shared" si="38"/>
        <v>410</v>
      </c>
      <c r="CV17" s="185">
        <f t="shared" si="39"/>
        <v>0</v>
      </c>
      <c r="CW17" s="185">
        <f t="shared" si="14"/>
        <v>170</v>
      </c>
      <c r="CX17" s="185">
        <f t="shared" si="50"/>
        <v>228</v>
      </c>
      <c r="CY17" s="185">
        <f t="shared" si="16"/>
        <v>451</v>
      </c>
      <c r="CZ17" s="184">
        <f t="shared" si="51"/>
        <v>1467</v>
      </c>
      <c r="DA17" s="315">
        <f t="shared" si="41"/>
        <v>2146</v>
      </c>
      <c r="DB17" s="251"/>
      <c r="DC17" s="175">
        <f t="shared" si="17"/>
        <v>1918</v>
      </c>
      <c r="DD17" s="177">
        <f t="shared" si="18"/>
        <v>580</v>
      </c>
      <c r="DE17" s="32">
        <f t="shared" si="42"/>
        <v>46096</v>
      </c>
      <c r="DF17" s="39">
        <f t="shared" si="43"/>
        <v>91</v>
      </c>
      <c r="DG17" s="39">
        <f t="shared" si="44"/>
        <v>2730</v>
      </c>
      <c r="DH17" s="39">
        <f t="shared" si="45"/>
        <v>27</v>
      </c>
      <c r="DI17" s="39">
        <f t="shared" si="46"/>
        <v>810</v>
      </c>
      <c r="DJ17" s="39">
        <f t="shared" si="47"/>
        <v>118</v>
      </c>
      <c r="DK17" s="39">
        <f t="shared" si="48"/>
        <v>3540</v>
      </c>
    </row>
    <row r="18" spans="1:115" ht="15.6">
      <c r="A18" s="32">
        <f t="shared" si="19"/>
        <v>46097</v>
      </c>
      <c r="B18" s="4">
        <v>12</v>
      </c>
      <c r="C18" s="4">
        <v>19</v>
      </c>
      <c r="D18" s="4">
        <v>102</v>
      </c>
      <c r="E18" s="4"/>
      <c r="F18" s="4">
        <f t="shared" si="20"/>
        <v>133</v>
      </c>
      <c r="G18" s="4">
        <f t="shared" si="0"/>
        <v>360</v>
      </c>
      <c r="H18" s="4">
        <f t="shared" si="1"/>
        <v>570</v>
      </c>
      <c r="I18" s="4">
        <f t="shared" si="2"/>
        <v>3060</v>
      </c>
      <c r="J18" s="4">
        <f t="shared" si="3"/>
        <v>0</v>
      </c>
      <c r="K18" s="30">
        <f t="shared" si="4"/>
        <v>3990</v>
      </c>
      <c r="L18" s="58">
        <f t="shared" si="5"/>
        <v>1478</v>
      </c>
      <c r="M18" s="206">
        <v>4</v>
      </c>
      <c r="N18" s="178">
        <v>23.5</v>
      </c>
      <c r="O18" s="178">
        <v>25</v>
      </c>
      <c r="P18" s="178">
        <v>165.35</v>
      </c>
      <c r="Q18" s="178">
        <v>20.75</v>
      </c>
      <c r="R18" s="178">
        <v>38.25</v>
      </c>
      <c r="S18" s="292">
        <v>11.6</v>
      </c>
      <c r="T18" s="292">
        <v>72</v>
      </c>
      <c r="U18" s="292">
        <v>34.9</v>
      </c>
      <c r="V18" s="292">
        <v>897</v>
      </c>
      <c r="W18" s="178">
        <f t="shared" ref="W18:W33" si="54">P18-Q18-R18</f>
        <v>106.35</v>
      </c>
      <c r="X18" s="200">
        <v>0</v>
      </c>
      <c r="Y18" s="200">
        <v>10.8</v>
      </c>
      <c r="Z18" s="200">
        <v>7</v>
      </c>
      <c r="AA18" s="200">
        <v>95</v>
      </c>
      <c r="AB18" s="200">
        <v>2879.82</v>
      </c>
      <c r="AC18" s="200">
        <v>345</v>
      </c>
      <c r="AD18" s="178">
        <v>11</v>
      </c>
      <c r="AE18" s="178">
        <v>1</v>
      </c>
      <c r="AF18" s="178">
        <v>7</v>
      </c>
      <c r="AG18" s="178">
        <v>114</v>
      </c>
      <c r="AH18" s="178">
        <f t="shared" si="22"/>
        <v>3306</v>
      </c>
      <c r="AI18" s="178">
        <v>570</v>
      </c>
      <c r="AJ18" s="200">
        <v>3</v>
      </c>
      <c r="AK18" s="200">
        <v>11.3</v>
      </c>
      <c r="AL18" s="200">
        <v>44</v>
      </c>
      <c r="AM18" s="200">
        <v>208.4</v>
      </c>
      <c r="AN18" s="275">
        <v>0</v>
      </c>
      <c r="AO18" s="275">
        <v>208.4</v>
      </c>
      <c r="AP18" s="275">
        <f t="shared" si="23"/>
        <v>0</v>
      </c>
      <c r="AQ18" s="275">
        <v>317</v>
      </c>
      <c r="AR18" s="62">
        <v>2</v>
      </c>
      <c r="AS18" s="62">
        <v>180</v>
      </c>
      <c r="AT18" s="62">
        <v>111</v>
      </c>
      <c r="AU18" s="60">
        <v>1.27</v>
      </c>
      <c r="AV18" s="62">
        <v>16.600000000000001</v>
      </c>
      <c r="AW18" s="62">
        <v>8.8800000000000008</v>
      </c>
      <c r="AX18" s="62">
        <v>9</v>
      </c>
      <c r="AY18" s="62">
        <v>9</v>
      </c>
      <c r="AZ18" s="94">
        <v>1800</v>
      </c>
      <c r="BA18" s="94">
        <v>900</v>
      </c>
      <c r="BB18" s="95">
        <f t="shared" si="24"/>
        <v>900</v>
      </c>
      <c r="BC18" s="124">
        <v>5</v>
      </c>
      <c r="BD18" s="124">
        <v>4.8</v>
      </c>
      <c r="BE18" s="124">
        <v>400</v>
      </c>
      <c r="BF18" s="124">
        <v>200</v>
      </c>
      <c r="BG18" s="124">
        <v>200</v>
      </c>
      <c r="BH18" s="124">
        <v>1</v>
      </c>
      <c r="BI18" s="124">
        <v>7.5</v>
      </c>
      <c r="BJ18" s="124">
        <v>240</v>
      </c>
      <c r="BK18" s="124">
        <v>130</v>
      </c>
      <c r="BL18" s="124">
        <f t="shared" si="25"/>
        <v>370</v>
      </c>
      <c r="BM18" s="181">
        <f t="shared" si="6"/>
        <v>13.88</v>
      </c>
      <c r="BN18" s="181">
        <f t="shared" si="7"/>
        <v>14</v>
      </c>
      <c r="BO18" s="181">
        <f t="shared" si="8"/>
        <v>13.8</v>
      </c>
      <c r="BP18" s="181">
        <f t="shared" si="9"/>
        <v>2200</v>
      </c>
      <c r="BQ18" s="181">
        <f t="shared" si="26"/>
        <v>24.1</v>
      </c>
      <c r="BR18" s="181">
        <f t="shared" si="27"/>
        <v>420</v>
      </c>
      <c r="BS18" s="181">
        <f t="shared" si="28"/>
        <v>241</v>
      </c>
      <c r="BT18" s="181">
        <f t="shared" si="29"/>
        <v>661</v>
      </c>
      <c r="BU18" s="86">
        <v>5.0999999999999996</v>
      </c>
      <c r="BV18" s="86">
        <v>450</v>
      </c>
      <c r="BW18" s="86">
        <v>1</v>
      </c>
      <c r="BX18" s="86">
        <v>7.5</v>
      </c>
      <c r="BY18" s="86">
        <v>110</v>
      </c>
      <c r="BZ18" s="86">
        <v>55</v>
      </c>
      <c r="CA18" s="86">
        <f t="shared" si="30"/>
        <v>165</v>
      </c>
      <c r="CB18" s="13">
        <f>1458-757</f>
        <v>701</v>
      </c>
      <c r="CC18" s="4">
        <f>762-158</f>
        <v>604</v>
      </c>
      <c r="CD18" s="55">
        <f t="shared" si="31"/>
        <v>317</v>
      </c>
      <c r="CE18" s="4">
        <v>445</v>
      </c>
      <c r="CF18" s="4">
        <f t="shared" ref="CF18:CF33" si="55">AC18</f>
        <v>345</v>
      </c>
      <c r="CG18" s="22">
        <f t="shared" si="11"/>
        <v>570</v>
      </c>
      <c r="CH18" s="4">
        <v>0</v>
      </c>
      <c r="CI18" s="4">
        <v>100</v>
      </c>
      <c r="CJ18" s="4">
        <f t="shared" si="32"/>
        <v>897</v>
      </c>
      <c r="CK18" s="37">
        <f t="shared" si="33"/>
        <v>3979</v>
      </c>
      <c r="CL18" s="4">
        <v>4000</v>
      </c>
      <c r="CM18" s="174">
        <f t="shared" si="49"/>
        <v>1363</v>
      </c>
      <c r="CN18" s="173">
        <f t="shared" si="34"/>
        <v>4000</v>
      </c>
      <c r="CO18" s="173">
        <f t="shared" si="35"/>
        <v>5363</v>
      </c>
      <c r="CP18" s="174">
        <f t="shared" si="36"/>
        <v>3979</v>
      </c>
      <c r="CQ18" s="174">
        <f t="shared" si="37"/>
        <v>1384</v>
      </c>
      <c r="CR18" s="91">
        <v>4360</v>
      </c>
      <c r="CS18" s="183">
        <f t="shared" si="12"/>
        <v>345</v>
      </c>
      <c r="CT18" s="184">
        <f t="shared" si="13"/>
        <v>570</v>
      </c>
      <c r="CU18" s="183">
        <f t="shared" si="38"/>
        <v>291</v>
      </c>
      <c r="CV18" s="185">
        <f t="shared" si="39"/>
        <v>370</v>
      </c>
      <c r="CW18" s="185">
        <f t="shared" si="14"/>
        <v>165</v>
      </c>
      <c r="CX18" s="185">
        <f t="shared" si="50"/>
        <v>897</v>
      </c>
      <c r="CY18" s="185">
        <f t="shared" si="16"/>
        <v>317</v>
      </c>
      <c r="CZ18" s="184">
        <f t="shared" si="51"/>
        <v>1405</v>
      </c>
      <c r="DA18" s="315">
        <f t="shared" si="41"/>
        <v>2619</v>
      </c>
      <c r="DB18" s="70">
        <v>5707</v>
      </c>
      <c r="DC18" s="175">
        <f t="shared" si="17"/>
        <v>1722</v>
      </c>
      <c r="DD18" s="177">
        <f t="shared" si="18"/>
        <v>826</v>
      </c>
      <c r="DE18" s="32">
        <f t="shared" si="42"/>
        <v>46097</v>
      </c>
      <c r="DF18" s="39">
        <f t="shared" si="43"/>
        <v>102</v>
      </c>
      <c r="DG18" s="39">
        <f t="shared" si="44"/>
        <v>3060</v>
      </c>
      <c r="DH18" s="39">
        <f t="shared" si="45"/>
        <v>31</v>
      </c>
      <c r="DI18" s="39">
        <f t="shared" si="46"/>
        <v>930</v>
      </c>
      <c r="DJ18" s="39">
        <f t="shared" si="47"/>
        <v>133</v>
      </c>
      <c r="DK18" s="39">
        <f t="shared" si="48"/>
        <v>3990</v>
      </c>
    </row>
    <row r="19" spans="1:115" ht="15.6">
      <c r="A19" s="32">
        <f t="shared" si="19"/>
        <v>46098</v>
      </c>
      <c r="B19" s="4">
        <v>34</v>
      </c>
      <c r="C19" s="4">
        <v>0</v>
      </c>
      <c r="D19" s="4">
        <v>103</v>
      </c>
      <c r="E19" s="4"/>
      <c r="F19" s="4">
        <f t="shared" si="20"/>
        <v>137</v>
      </c>
      <c r="G19" s="4">
        <f t="shared" si="0"/>
        <v>1020</v>
      </c>
      <c r="H19" s="4">
        <f t="shared" si="1"/>
        <v>0</v>
      </c>
      <c r="I19" s="4">
        <f t="shared" si="2"/>
        <v>3090</v>
      </c>
      <c r="J19" s="4">
        <f t="shared" si="3"/>
        <v>0</v>
      </c>
      <c r="K19" s="30">
        <f t="shared" si="4"/>
        <v>4110</v>
      </c>
      <c r="L19" s="58">
        <f t="shared" si="5"/>
        <v>1523</v>
      </c>
      <c r="M19" s="206">
        <v>3</v>
      </c>
      <c r="N19" s="178">
        <v>18.399999999999999</v>
      </c>
      <c r="O19" s="178">
        <v>26</v>
      </c>
      <c r="P19" s="178">
        <v>131.15</v>
      </c>
      <c r="Q19" s="178">
        <v>4.0999999999999996</v>
      </c>
      <c r="R19" s="178">
        <v>20.25</v>
      </c>
      <c r="S19" s="292">
        <v>8.6999999999999993</v>
      </c>
      <c r="T19" s="292">
        <v>65</v>
      </c>
      <c r="U19" s="292">
        <v>32.4</v>
      </c>
      <c r="V19" s="292">
        <v>114</v>
      </c>
      <c r="W19" s="178">
        <f>P19-Q19-R19</f>
        <v>106.80000000000001</v>
      </c>
      <c r="X19" s="200">
        <v>0</v>
      </c>
      <c r="Y19" s="200">
        <v>6.3</v>
      </c>
      <c r="Z19" s="200">
        <v>6</v>
      </c>
      <c r="AA19" s="200">
        <v>50</v>
      </c>
      <c r="AB19" s="200">
        <v>1585.54</v>
      </c>
      <c r="AC19" s="200">
        <v>265</v>
      </c>
      <c r="AD19" s="178">
        <v>0</v>
      </c>
      <c r="AE19" s="178">
        <v>1.1000000000000001</v>
      </c>
      <c r="AF19" s="178">
        <v>3</v>
      </c>
      <c r="AG19" s="178">
        <v>17</v>
      </c>
      <c r="AH19" s="178">
        <f t="shared" si="22"/>
        <v>493</v>
      </c>
      <c r="AI19" s="178">
        <v>41</v>
      </c>
      <c r="AJ19" s="200">
        <v>2</v>
      </c>
      <c r="AK19" s="200">
        <v>10.6</v>
      </c>
      <c r="AL19" s="200">
        <v>41</v>
      </c>
      <c r="AM19" s="200">
        <v>109</v>
      </c>
      <c r="AN19" s="275">
        <v>0</v>
      </c>
      <c r="AO19" s="275">
        <v>109</v>
      </c>
      <c r="AP19" s="275">
        <f t="shared" si="23"/>
        <v>0</v>
      </c>
      <c r="AQ19" s="275">
        <v>551</v>
      </c>
      <c r="AR19" s="62">
        <v>3</v>
      </c>
      <c r="AS19" s="62">
        <v>307</v>
      </c>
      <c r="AT19" s="62">
        <v>0</v>
      </c>
      <c r="AU19" s="60">
        <v>0</v>
      </c>
      <c r="AV19" s="62">
        <v>16.7</v>
      </c>
      <c r="AW19" s="62">
        <v>3.89</v>
      </c>
      <c r="AX19" s="62">
        <v>4</v>
      </c>
      <c r="AY19" s="62">
        <v>5</v>
      </c>
      <c r="AZ19" s="94">
        <v>400</v>
      </c>
      <c r="BA19" s="94">
        <v>200</v>
      </c>
      <c r="BB19" s="95">
        <f t="shared" si="24"/>
        <v>200</v>
      </c>
      <c r="BC19" s="124">
        <v>0</v>
      </c>
      <c r="BD19" s="124">
        <v>0</v>
      </c>
      <c r="BE19" s="124">
        <v>0</v>
      </c>
      <c r="BF19" s="124">
        <v>0</v>
      </c>
      <c r="BG19" s="124">
        <v>0</v>
      </c>
      <c r="BH19" s="124">
        <v>0</v>
      </c>
      <c r="BI19" s="124">
        <v>0</v>
      </c>
      <c r="BJ19" s="124">
        <v>0</v>
      </c>
      <c r="BK19" s="124">
        <v>0</v>
      </c>
      <c r="BL19" s="124">
        <f t="shared" si="25"/>
        <v>0</v>
      </c>
      <c r="BM19" s="181">
        <f t="shared" si="6"/>
        <v>3.89</v>
      </c>
      <c r="BN19" s="181">
        <f t="shared" si="7"/>
        <v>4</v>
      </c>
      <c r="BO19" s="181">
        <f t="shared" si="8"/>
        <v>5</v>
      </c>
      <c r="BP19" s="181">
        <f t="shared" si="9"/>
        <v>400</v>
      </c>
      <c r="BQ19" s="181">
        <f t="shared" si="26"/>
        <v>16.7</v>
      </c>
      <c r="BR19" s="181">
        <f t="shared" si="27"/>
        <v>307</v>
      </c>
      <c r="BS19" s="181">
        <f t="shared" si="28"/>
        <v>0</v>
      </c>
      <c r="BT19" s="181">
        <f t="shared" si="29"/>
        <v>307</v>
      </c>
      <c r="BU19" s="87">
        <v>2.4</v>
      </c>
      <c r="BV19" s="87">
        <v>200</v>
      </c>
      <c r="BW19" s="86">
        <v>1</v>
      </c>
      <c r="BX19" s="86">
        <v>5.6</v>
      </c>
      <c r="BY19" s="86">
        <v>60</v>
      </c>
      <c r="BZ19" s="87">
        <v>25</v>
      </c>
      <c r="CA19" s="86">
        <f t="shared" si="30"/>
        <v>85</v>
      </c>
      <c r="CB19" s="4">
        <f>2395-157</f>
        <v>2238</v>
      </c>
      <c r="CC19" s="4">
        <v>0</v>
      </c>
      <c r="CD19" s="55">
        <f t="shared" si="31"/>
        <v>551</v>
      </c>
      <c r="CE19" s="4">
        <v>100</v>
      </c>
      <c r="CF19" s="4">
        <f t="shared" si="55"/>
        <v>265</v>
      </c>
      <c r="CG19" s="22">
        <f t="shared" si="11"/>
        <v>41</v>
      </c>
      <c r="CH19" s="4">
        <v>0</v>
      </c>
      <c r="CI19" s="4">
        <v>0</v>
      </c>
      <c r="CJ19" s="4">
        <f t="shared" si="32"/>
        <v>114</v>
      </c>
      <c r="CK19" s="37">
        <f t="shared" si="33"/>
        <v>3309</v>
      </c>
      <c r="CL19" s="4">
        <v>2500</v>
      </c>
      <c r="CM19" s="174">
        <f t="shared" si="49"/>
        <v>1384</v>
      </c>
      <c r="CN19" s="173">
        <f t="shared" si="34"/>
        <v>2500</v>
      </c>
      <c r="CO19" s="173">
        <f t="shared" si="35"/>
        <v>3884</v>
      </c>
      <c r="CP19" s="174">
        <f t="shared" si="36"/>
        <v>3309</v>
      </c>
      <c r="CQ19" s="174">
        <f t="shared" si="37"/>
        <v>575</v>
      </c>
      <c r="CR19" s="91">
        <v>2802</v>
      </c>
      <c r="CS19" s="183">
        <f t="shared" si="12"/>
        <v>265</v>
      </c>
      <c r="CT19" s="184">
        <f t="shared" si="13"/>
        <v>41</v>
      </c>
      <c r="CU19" s="183">
        <f t="shared" si="38"/>
        <v>307</v>
      </c>
      <c r="CV19" s="185">
        <f t="shared" si="39"/>
        <v>0</v>
      </c>
      <c r="CW19" s="185">
        <f t="shared" si="14"/>
        <v>85</v>
      </c>
      <c r="CX19" s="185">
        <f t="shared" si="50"/>
        <v>114</v>
      </c>
      <c r="CY19" s="185">
        <f t="shared" si="16"/>
        <v>551</v>
      </c>
      <c r="CZ19" s="184">
        <f t="shared" si="51"/>
        <v>1439</v>
      </c>
      <c r="DA19" s="315">
        <f t="shared" si="41"/>
        <v>2104</v>
      </c>
      <c r="DB19" s="252"/>
      <c r="DC19" s="175">
        <f t="shared" si="17"/>
        <v>1990</v>
      </c>
      <c r="DD19" s="177">
        <f t="shared" si="18"/>
        <v>392</v>
      </c>
      <c r="DE19" s="32">
        <f t="shared" si="42"/>
        <v>46098</v>
      </c>
      <c r="DF19" s="39">
        <f t="shared" si="43"/>
        <v>103</v>
      </c>
      <c r="DG19" s="39">
        <f t="shared" si="44"/>
        <v>3090</v>
      </c>
      <c r="DH19" s="39">
        <f t="shared" si="45"/>
        <v>34</v>
      </c>
      <c r="DI19" s="39">
        <f t="shared" si="46"/>
        <v>1020</v>
      </c>
      <c r="DJ19" s="39">
        <f t="shared" si="47"/>
        <v>137</v>
      </c>
      <c r="DK19" s="39">
        <f t="shared" si="48"/>
        <v>4110</v>
      </c>
    </row>
    <row r="20" spans="1:115" ht="15.6">
      <c r="A20" s="40">
        <f t="shared" si="19"/>
        <v>46099</v>
      </c>
      <c r="B20" s="25">
        <v>7</v>
      </c>
      <c r="C20" s="25">
        <v>46</v>
      </c>
      <c r="D20" s="25">
        <v>45</v>
      </c>
      <c r="E20" s="25"/>
      <c r="F20" s="4">
        <f t="shared" si="20"/>
        <v>98</v>
      </c>
      <c r="G20" s="25">
        <f t="shared" si="0"/>
        <v>210</v>
      </c>
      <c r="H20" s="25">
        <f t="shared" si="1"/>
        <v>1380</v>
      </c>
      <c r="I20" s="25">
        <f t="shared" si="2"/>
        <v>1350</v>
      </c>
      <c r="J20" s="25">
        <f t="shared" si="3"/>
        <v>0</v>
      </c>
      <c r="K20" s="12">
        <f t="shared" si="4"/>
        <v>2940</v>
      </c>
      <c r="L20" s="58">
        <f t="shared" si="5"/>
        <v>1089</v>
      </c>
      <c r="M20" s="205">
        <v>3</v>
      </c>
      <c r="N20" s="178">
        <v>14.6</v>
      </c>
      <c r="O20" s="178">
        <v>24</v>
      </c>
      <c r="P20" s="178">
        <v>133.1</v>
      </c>
      <c r="Q20" s="178">
        <v>3.65</v>
      </c>
      <c r="R20" s="178">
        <v>30.95</v>
      </c>
      <c r="S20" s="292">
        <v>4.4000000000000004</v>
      </c>
      <c r="T20" s="292">
        <v>38</v>
      </c>
      <c r="U20" s="292">
        <v>25.6</v>
      </c>
      <c r="V20" s="292">
        <v>0</v>
      </c>
      <c r="W20" s="178">
        <f>P20-Q20-R20</f>
        <v>98.499999999999986</v>
      </c>
      <c r="X20" s="200">
        <v>0</v>
      </c>
      <c r="Y20" s="200">
        <v>10.8</v>
      </c>
      <c r="Z20" s="200">
        <v>6</v>
      </c>
      <c r="AA20" s="200">
        <v>89</v>
      </c>
      <c r="AB20" s="200">
        <v>2859.72</v>
      </c>
      <c r="AC20" s="200">
        <v>320</v>
      </c>
      <c r="AD20" s="178">
        <v>0</v>
      </c>
      <c r="AE20" s="178">
        <v>1.6</v>
      </c>
      <c r="AF20" s="178">
        <v>5</v>
      </c>
      <c r="AG20" s="178">
        <v>14</v>
      </c>
      <c r="AH20" s="178">
        <f t="shared" si="22"/>
        <v>406</v>
      </c>
      <c r="AI20" s="178">
        <v>40</v>
      </c>
      <c r="AJ20" s="200">
        <v>2</v>
      </c>
      <c r="AK20" s="200">
        <v>11.8</v>
      </c>
      <c r="AL20" s="200">
        <v>42</v>
      </c>
      <c r="AM20" s="200">
        <v>161.19999999999999</v>
      </c>
      <c r="AN20" s="275">
        <v>0</v>
      </c>
      <c r="AO20" s="275">
        <v>161.19999999999999</v>
      </c>
      <c r="AP20" s="275">
        <f t="shared" si="23"/>
        <v>0</v>
      </c>
      <c r="AQ20" s="278">
        <v>300</v>
      </c>
      <c r="AR20" s="99">
        <v>2</v>
      </c>
      <c r="AS20" s="99">
        <v>70</v>
      </c>
      <c r="AT20" s="99">
        <v>0</v>
      </c>
      <c r="AU20" s="100">
        <v>0</v>
      </c>
      <c r="AV20" s="99">
        <v>5.5</v>
      </c>
      <c r="AW20" s="99">
        <v>0</v>
      </c>
      <c r="AX20" s="99">
        <v>0</v>
      </c>
      <c r="AY20" s="99">
        <v>0</v>
      </c>
      <c r="AZ20" s="101">
        <v>0</v>
      </c>
      <c r="BA20" s="94">
        <v>0</v>
      </c>
      <c r="BB20" s="95">
        <f t="shared" si="24"/>
        <v>0</v>
      </c>
      <c r="BC20" s="124">
        <v>11</v>
      </c>
      <c r="BD20" s="124">
        <v>8.4</v>
      </c>
      <c r="BE20" s="124">
        <v>800</v>
      </c>
      <c r="BF20" s="126">
        <v>400</v>
      </c>
      <c r="BG20" s="126">
        <v>400</v>
      </c>
      <c r="BH20" s="126">
        <v>2</v>
      </c>
      <c r="BI20" s="126">
        <v>9.3000000000000007</v>
      </c>
      <c r="BJ20" s="126">
        <v>140</v>
      </c>
      <c r="BK20" s="126">
        <v>130</v>
      </c>
      <c r="BL20" s="124">
        <f t="shared" si="25"/>
        <v>270</v>
      </c>
      <c r="BM20" s="181">
        <f t="shared" si="6"/>
        <v>11</v>
      </c>
      <c r="BN20" s="181">
        <f t="shared" si="7"/>
        <v>11</v>
      </c>
      <c r="BO20" s="181">
        <f t="shared" si="8"/>
        <v>8.4</v>
      </c>
      <c r="BP20" s="181">
        <f t="shared" si="9"/>
        <v>800</v>
      </c>
      <c r="BQ20" s="181">
        <f t="shared" si="26"/>
        <v>14.8</v>
      </c>
      <c r="BR20" s="181">
        <f t="shared" si="27"/>
        <v>210</v>
      </c>
      <c r="BS20" s="181">
        <f t="shared" si="28"/>
        <v>130</v>
      </c>
      <c r="BT20" s="181">
        <f t="shared" si="29"/>
        <v>340</v>
      </c>
      <c r="BU20" s="87">
        <v>7.4</v>
      </c>
      <c r="BV20" s="87">
        <v>700</v>
      </c>
      <c r="BW20" s="86">
        <v>2</v>
      </c>
      <c r="BX20" s="86">
        <v>11.4</v>
      </c>
      <c r="BY20" s="86">
        <v>56</v>
      </c>
      <c r="BZ20" s="87">
        <v>80</v>
      </c>
      <c r="CA20" s="86">
        <f t="shared" si="30"/>
        <v>136</v>
      </c>
      <c r="CB20" s="25">
        <f>1135-175</f>
        <v>960</v>
      </c>
      <c r="CC20" s="25">
        <f>400-82</f>
        <v>318</v>
      </c>
      <c r="CD20" s="55">
        <f t="shared" si="31"/>
        <v>300</v>
      </c>
      <c r="CE20" s="25">
        <v>130</v>
      </c>
      <c r="CF20" s="4">
        <f t="shared" si="55"/>
        <v>320</v>
      </c>
      <c r="CG20" s="22">
        <f t="shared" si="11"/>
        <v>40</v>
      </c>
      <c r="CH20" s="25">
        <v>400</v>
      </c>
      <c r="CI20" s="25">
        <f>208-103</f>
        <v>105</v>
      </c>
      <c r="CJ20" s="4">
        <f t="shared" si="32"/>
        <v>0</v>
      </c>
      <c r="CK20" s="37">
        <f t="shared" si="33"/>
        <v>2573</v>
      </c>
      <c r="CL20" s="25">
        <v>2000</v>
      </c>
      <c r="CM20" s="174">
        <f t="shared" si="49"/>
        <v>575</v>
      </c>
      <c r="CN20" s="173">
        <f t="shared" si="34"/>
        <v>2000</v>
      </c>
      <c r="CO20" s="173">
        <f t="shared" si="35"/>
        <v>2575</v>
      </c>
      <c r="CP20" s="174">
        <f t="shared" si="36"/>
        <v>2573</v>
      </c>
      <c r="CQ20" s="174">
        <f t="shared" si="37"/>
        <v>2</v>
      </c>
      <c r="CR20" s="91">
        <v>2431</v>
      </c>
      <c r="CS20" s="183">
        <f t="shared" si="12"/>
        <v>320</v>
      </c>
      <c r="CT20" s="184">
        <f t="shared" si="13"/>
        <v>40</v>
      </c>
      <c r="CU20" s="183">
        <f t="shared" si="38"/>
        <v>70</v>
      </c>
      <c r="CV20" s="185">
        <f t="shared" si="39"/>
        <v>270</v>
      </c>
      <c r="CW20" s="185">
        <f t="shared" si="14"/>
        <v>136</v>
      </c>
      <c r="CX20" s="185">
        <f t="shared" si="50"/>
        <v>0</v>
      </c>
      <c r="CY20" s="185">
        <f t="shared" si="16"/>
        <v>300</v>
      </c>
      <c r="CZ20" s="184">
        <f t="shared" si="51"/>
        <v>1295</v>
      </c>
      <c r="DA20" s="315">
        <f t="shared" si="41"/>
        <v>1595</v>
      </c>
      <c r="DB20" s="70">
        <v>6356</v>
      </c>
      <c r="DC20" s="175">
        <f t="shared" si="17"/>
        <v>1595</v>
      </c>
      <c r="DD20" s="177">
        <f t="shared" si="18"/>
        <v>476</v>
      </c>
      <c r="DE20" s="40">
        <f t="shared" si="42"/>
        <v>46099</v>
      </c>
      <c r="DF20" s="39">
        <f t="shared" si="43"/>
        <v>45</v>
      </c>
      <c r="DG20" s="39">
        <f t="shared" si="44"/>
        <v>1350</v>
      </c>
      <c r="DH20" s="39">
        <f t="shared" si="45"/>
        <v>53</v>
      </c>
      <c r="DI20" s="39">
        <f t="shared" si="46"/>
        <v>1590</v>
      </c>
      <c r="DJ20" s="39">
        <f t="shared" si="47"/>
        <v>98</v>
      </c>
      <c r="DK20" s="39">
        <f t="shared" si="48"/>
        <v>2940</v>
      </c>
    </row>
    <row r="21" spans="1:115" s="42" customFormat="1" ht="15.6">
      <c r="A21" s="41">
        <f t="shared" si="19"/>
        <v>46100</v>
      </c>
      <c r="B21" s="4"/>
      <c r="C21" s="4"/>
      <c r="D21" s="4"/>
      <c r="E21" s="4"/>
      <c r="F21" s="4">
        <f t="shared" si="20"/>
        <v>0</v>
      </c>
      <c r="G21" s="4">
        <f t="shared" si="0"/>
        <v>0</v>
      </c>
      <c r="H21" s="4">
        <f t="shared" si="1"/>
        <v>0</v>
      </c>
      <c r="I21" s="4">
        <f t="shared" si="2"/>
        <v>0</v>
      </c>
      <c r="J21" s="4">
        <f t="shared" si="3"/>
        <v>0</v>
      </c>
      <c r="K21" s="30">
        <f t="shared" si="4"/>
        <v>0</v>
      </c>
      <c r="L21" s="58">
        <f t="shared" si="5"/>
        <v>0</v>
      </c>
      <c r="M21" s="206"/>
      <c r="N21" s="178"/>
      <c r="O21" s="178"/>
      <c r="P21" s="178"/>
      <c r="Q21" s="178"/>
      <c r="R21" s="178"/>
      <c r="S21" s="292"/>
      <c r="T21" s="292"/>
      <c r="U21" s="292"/>
      <c r="V21" s="292"/>
      <c r="W21" s="178">
        <f t="shared" si="54"/>
        <v>0</v>
      </c>
      <c r="X21" s="200"/>
      <c r="Y21" s="200"/>
      <c r="Z21" s="200"/>
      <c r="AA21" s="200"/>
      <c r="AB21" s="200"/>
      <c r="AC21" s="200"/>
      <c r="AD21" s="178"/>
      <c r="AE21" s="178"/>
      <c r="AF21" s="178"/>
      <c r="AG21" s="178"/>
      <c r="AH21" s="178">
        <f t="shared" si="22"/>
        <v>0</v>
      </c>
      <c r="AI21" s="178"/>
      <c r="AJ21" s="200"/>
      <c r="AK21" s="200"/>
      <c r="AL21" s="200"/>
      <c r="AM21" s="200"/>
      <c r="AN21" s="275"/>
      <c r="AO21" s="275"/>
      <c r="AP21" s="275">
        <f t="shared" si="23"/>
        <v>0</v>
      </c>
      <c r="AQ21" s="275"/>
      <c r="AR21" s="62"/>
      <c r="AS21" s="62"/>
      <c r="AT21" s="62"/>
      <c r="AU21" s="60"/>
      <c r="AV21" s="62"/>
      <c r="AW21" s="62"/>
      <c r="AX21" s="62"/>
      <c r="AY21" s="62"/>
      <c r="AZ21" s="94"/>
      <c r="BA21" s="94"/>
      <c r="BB21" s="95">
        <f t="shared" si="24"/>
        <v>0</v>
      </c>
      <c r="BC21" s="124"/>
      <c r="BD21" s="124"/>
      <c r="BE21" s="124"/>
      <c r="BF21" s="124"/>
      <c r="BG21" s="124"/>
      <c r="BH21" s="124"/>
      <c r="BI21" s="124"/>
      <c r="BJ21" s="124"/>
      <c r="BK21" s="124"/>
      <c r="BL21" s="124">
        <f t="shared" si="25"/>
        <v>0</v>
      </c>
      <c r="BM21" s="181">
        <f t="shared" si="6"/>
        <v>0</v>
      </c>
      <c r="BN21" s="181">
        <f t="shared" si="7"/>
        <v>0</v>
      </c>
      <c r="BO21" s="181">
        <f t="shared" si="8"/>
        <v>0</v>
      </c>
      <c r="BP21" s="181">
        <f t="shared" si="9"/>
        <v>0</v>
      </c>
      <c r="BQ21" s="181">
        <f t="shared" si="26"/>
        <v>0</v>
      </c>
      <c r="BR21" s="181">
        <f t="shared" si="27"/>
        <v>0</v>
      </c>
      <c r="BS21" s="181">
        <f t="shared" si="28"/>
        <v>0</v>
      </c>
      <c r="BT21" s="181">
        <f t="shared" si="29"/>
        <v>0</v>
      </c>
      <c r="BU21" s="86"/>
      <c r="BV21" s="86"/>
      <c r="BW21" s="86"/>
      <c r="BX21" s="86"/>
      <c r="BY21" s="86"/>
      <c r="BZ21" s="86"/>
      <c r="CA21" s="86">
        <f t="shared" si="30"/>
        <v>0</v>
      </c>
      <c r="CB21" s="4"/>
      <c r="CC21" s="4"/>
      <c r="CD21" s="55">
        <f t="shared" si="31"/>
        <v>0</v>
      </c>
      <c r="CE21" s="4"/>
      <c r="CF21" s="4">
        <f t="shared" si="55"/>
        <v>0</v>
      </c>
      <c r="CG21" s="22">
        <f t="shared" si="11"/>
        <v>0</v>
      </c>
      <c r="CH21" s="4"/>
      <c r="CI21" s="4"/>
      <c r="CJ21" s="4">
        <f t="shared" si="32"/>
        <v>0</v>
      </c>
      <c r="CK21" s="37">
        <f t="shared" si="33"/>
        <v>0</v>
      </c>
      <c r="CL21" s="4"/>
      <c r="CM21" s="174">
        <f t="shared" si="49"/>
        <v>2</v>
      </c>
      <c r="CN21" s="173">
        <f t="shared" si="34"/>
        <v>0</v>
      </c>
      <c r="CO21" s="173">
        <f t="shared" si="35"/>
        <v>2</v>
      </c>
      <c r="CP21" s="174">
        <f t="shared" si="36"/>
        <v>0</v>
      </c>
      <c r="CQ21" s="174">
        <f t="shared" si="37"/>
        <v>2</v>
      </c>
      <c r="CR21" s="91"/>
      <c r="CS21" s="183">
        <f t="shared" si="12"/>
        <v>0</v>
      </c>
      <c r="CT21" s="184">
        <f t="shared" si="13"/>
        <v>0</v>
      </c>
      <c r="CU21" s="183">
        <f t="shared" si="38"/>
        <v>0</v>
      </c>
      <c r="CV21" s="185">
        <f t="shared" si="39"/>
        <v>0</v>
      </c>
      <c r="CW21" s="185">
        <f t="shared" si="14"/>
        <v>0</v>
      </c>
      <c r="CX21" s="185">
        <f t="shared" si="50"/>
        <v>0</v>
      </c>
      <c r="CY21" s="185">
        <f t="shared" si="16"/>
        <v>0</v>
      </c>
      <c r="CZ21" s="184">
        <f t="shared" si="51"/>
        <v>0</v>
      </c>
      <c r="DA21" s="315">
        <f t="shared" si="41"/>
        <v>0</v>
      </c>
      <c r="DB21" s="70"/>
      <c r="DC21" s="175">
        <f t="shared" si="17"/>
        <v>0</v>
      </c>
      <c r="DD21" s="177">
        <f t="shared" si="18"/>
        <v>0</v>
      </c>
      <c r="DE21" s="41">
        <f t="shared" si="42"/>
        <v>46100</v>
      </c>
      <c r="DF21" s="39">
        <f t="shared" si="43"/>
        <v>0</v>
      </c>
      <c r="DG21" s="39">
        <f t="shared" si="44"/>
        <v>0</v>
      </c>
      <c r="DH21" s="39">
        <f t="shared" si="45"/>
        <v>0</v>
      </c>
      <c r="DI21" s="39">
        <f t="shared" si="46"/>
        <v>0</v>
      </c>
      <c r="DJ21" s="39">
        <f t="shared" si="47"/>
        <v>0</v>
      </c>
      <c r="DK21" s="39">
        <f t="shared" si="48"/>
        <v>0</v>
      </c>
    </row>
    <row r="22" spans="1:115" ht="15.6">
      <c r="A22" s="32">
        <f t="shared" si="19"/>
        <v>46101</v>
      </c>
      <c r="B22" s="10"/>
      <c r="C22" s="4">
        <v>27</v>
      </c>
      <c r="D22" s="4">
        <v>110</v>
      </c>
      <c r="E22" s="4"/>
      <c r="F22" s="4">
        <f t="shared" si="20"/>
        <v>137</v>
      </c>
      <c r="G22" s="4">
        <f t="shared" si="0"/>
        <v>0</v>
      </c>
      <c r="H22" s="4">
        <f t="shared" si="1"/>
        <v>810</v>
      </c>
      <c r="I22" s="4">
        <f t="shared" si="2"/>
        <v>3300</v>
      </c>
      <c r="J22" s="4">
        <f t="shared" si="3"/>
        <v>0</v>
      </c>
      <c r="K22" s="30">
        <f t="shared" si="4"/>
        <v>4110</v>
      </c>
      <c r="L22" s="58">
        <f t="shared" si="5"/>
        <v>1523</v>
      </c>
      <c r="M22" s="206">
        <v>4</v>
      </c>
      <c r="N22" s="178">
        <v>21.8</v>
      </c>
      <c r="O22" s="178">
        <v>21</v>
      </c>
      <c r="P22" s="178">
        <v>104.25</v>
      </c>
      <c r="Q22" s="178">
        <v>3.7</v>
      </c>
      <c r="R22" s="178">
        <v>0.9</v>
      </c>
      <c r="S22" s="292">
        <v>5.0999999999999996</v>
      </c>
      <c r="T22" s="292">
        <v>22</v>
      </c>
      <c r="U22" s="292">
        <v>17.5</v>
      </c>
      <c r="V22" s="292">
        <v>385</v>
      </c>
      <c r="W22" s="178">
        <f t="shared" si="54"/>
        <v>99.649999999999991</v>
      </c>
      <c r="X22" s="200">
        <v>0</v>
      </c>
      <c r="Y22" s="200">
        <v>1</v>
      </c>
      <c r="Z22" s="200">
        <v>1</v>
      </c>
      <c r="AA22" s="200">
        <v>4</v>
      </c>
      <c r="AB22" s="200">
        <v>122.65</v>
      </c>
      <c r="AC22" s="200">
        <v>17</v>
      </c>
      <c r="AD22" s="178">
        <v>0.8</v>
      </c>
      <c r="AE22" s="178">
        <v>0.8</v>
      </c>
      <c r="AF22" s="178">
        <v>4</v>
      </c>
      <c r="AG22" s="178">
        <v>9</v>
      </c>
      <c r="AH22" s="178">
        <f t="shared" si="22"/>
        <v>261</v>
      </c>
      <c r="AI22" s="178">
        <v>45</v>
      </c>
      <c r="AJ22" s="200">
        <v>0</v>
      </c>
      <c r="AK22" s="200">
        <v>0</v>
      </c>
      <c r="AL22" s="200">
        <v>0</v>
      </c>
      <c r="AM22" s="200">
        <v>0</v>
      </c>
      <c r="AN22" s="275">
        <v>0</v>
      </c>
      <c r="AO22" s="275">
        <v>0</v>
      </c>
      <c r="AP22" s="275">
        <f t="shared" si="23"/>
        <v>0</v>
      </c>
      <c r="AQ22" s="275">
        <v>0</v>
      </c>
      <c r="AR22" s="62">
        <v>3</v>
      </c>
      <c r="AS22" s="62">
        <v>253</v>
      </c>
      <c r="AT22" s="62">
        <v>41</v>
      </c>
      <c r="AU22" s="60">
        <v>5.69</v>
      </c>
      <c r="AV22" s="62">
        <v>16.2</v>
      </c>
      <c r="AW22" s="62">
        <v>5.86</v>
      </c>
      <c r="AX22" s="62">
        <v>7</v>
      </c>
      <c r="AY22" s="62">
        <v>7</v>
      </c>
      <c r="AZ22" s="94">
        <v>1200</v>
      </c>
      <c r="BA22" s="94">
        <v>600</v>
      </c>
      <c r="BB22" s="95">
        <f t="shared" si="24"/>
        <v>600</v>
      </c>
      <c r="BC22" s="124">
        <v>9</v>
      </c>
      <c r="BD22" s="124">
        <v>8</v>
      </c>
      <c r="BE22" s="124">
        <v>800</v>
      </c>
      <c r="BF22" s="124">
        <v>400</v>
      </c>
      <c r="BG22" s="124">
        <v>400</v>
      </c>
      <c r="BH22" s="124">
        <v>3</v>
      </c>
      <c r="BI22" s="124">
        <v>13</v>
      </c>
      <c r="BJ22" s="124">
        <v>152</v>
      </c>
      <c r="BK22" s="124">
        <v>340</v>
      </c>
      <c r="BL22" s="124">
        <f t="shared" si="25"/>
        <v>492</v>
      </c>
      <c r="BM22" s="181">
        <f t="shared" si="6"/>
        <v>14.86</v>
      </c>
      <c r="BN22" s="181">
        <f t="shared" si="7"/>
        <v>16</v>
      </c>
      <c r="BO22" s="181">
        <f t="shared" si="8"/>
        <v>15</v>
      </c>
      <c r="BP22" s="181">
        <f t="shared" si="9"/>
        <v>2000</v>
      </c>
      <c r="BQ22" s="181">
        <f t="shared" si="26"/>
        <v>29.2</v>
      </c>
      <c r="BR22" s="181">
        <f t="shared" si="27"/>
        <v>405</v>
      </c>
      <c r="BS22" s="181">
        <f t="shared" si="28"/>
        <v>381</v>
      </c>
      <c r="BT22" s="181">
        <f t="shared" si="29"/>
        <v>786</v>
      </c>
      <c r="BU22" s="86">
        <v>4.5</v>
      </c>
      <c r="BV22" s="86">
        <v>500</v>
      </c>
      <c r="BW22" s="86">
        <v>1</v>
      </c>
      <c r="BX22" s="86">
        <v>7.3</v>
      </c>
      <c r="BY22" s="86">
        <v>123</v>
      </c>
      <c r="BZ22" s="86">
        <v>55</v>
      </c>
      <c r="CA22" s="86">
        <f t="shared" si="30"/>
        <v>178</v>
      </c>
      <c r="CB22" s="4">
        <f>1678-31</f>
        <v>1647</v>
      </c>
      <c r="CC22" s="4">
        <f>463-17</f>
        <v>446</v>
      </c>
      <c r="CD22" s="55">
        <f t="shared" si="31"/>
        <v>0</v>
      </c>
      <c r="CE22" s="4">
        <v>331</v>
      </c>
      <c r="CF22" s="4">
        <f t="shared" si="55"/>
        <v>17</v>
      </c>
      <c r="CG22" s="22">
        <f t="shared" si="11"/>
        <v>45</v>
      </c>
      <c r="CH22" s="4">
        <v>317</v>
      </c>
      <c r="CI22" s="4">
        <f>346-14</f>
        <v>332</v>
      </c>
      <c r="CJ22" s="4">
        <f t="shared" si="32"/>
        <v>385</v>
      </c>
      <c r="CK22" s="37">
        <f t="shared" si="33"/>
        <v>3520</v>
      </c>
      <c r="CL22" s="4">
        <v>3520</v>
      </c>
      <c r="CM22" s="174">
        <f t="shared" si="49"/>
        <v>2</v>
      </c>
      <c r="CN22" s="173">
        <f t="shared" si="34"/>
        <v>3520</v>
      </c>
      <c r="CO22" s="173">
        <f t="shared" si="35"/>
        <v>3522</v>
      </c>
      <c r="CP22" s="174">
        <f t="shared" si="36"/>
        <v>3520</v>
      </c>
      <c r="CQ22" s="174">
        <f t="shared" si="37"/>
        <v>2</v>
      </c>
      <c r="CR22" s="91">
        <v>3057</v>
      </c>
      <c r="CS22" s="183">
        <f t="shared" si="12"/>
        <v>17</v>
      </c>
      <c r="CT22" s="184">
        <f t="shared" si="13"/>
        <v>45</v>
      </c>
      <c r="CU22" s="183">
        <f t="shared" si="38"/>
        <v>294</v>
      </c>
      <c r="CV22" s="185">
        <f t="shared" si="39"/>
        <v>492</v>
      </c>
      <c r="CW22" s="185">
        <f t="shared" si="14"/>
        <v>178</v>
      </c>
      <c r="CX22" s="185">
        <f t="shared" si="50"/>
        <v>385</v>
      </c>
      <c r="CY22" s="185">
        <f t="shared" si="16"/>
        <v>0</v>
      </c>
      <c r="CZ22" s="184">
        <f t="shared" si="51"/>
        <v>1646</v>
      </c>
      <c r="DA22" s="315">
        <f t="shared" si="41"/>
        <v>2031</v>
      </c>
      <c r="DC22" s="175">
        <f t="shared" si="17"/>
        <v>1646</v>
      </c>
      <c r="DD22" s="177">
        <f t="shared" si="18"/>
        <v>964</v>
      </c>
      <c r="DE22" s="32">
        <f t="shared" si="42"/>
        <v>46101</v>
      </c>
      <c r="DF22" s="39">
        <f t="shared" si="43"/>
        <v>110</v>
      </c>
      <c r="DG22" s="39">
        <f t="shared" si="44"/>
        <v>3300</v>
      </c>
      <c r="DH22" s="39">
        <f t="shared" si="45"/>
        <v>27</v>
      </c>
      <c r="DI22" s="39">
        <f t="shared" si="46"/>
        <v>810</v>
      </c>
      <c r="DJ22" s="39">
        <f t="shared" si="47"/>
        <v>137</v>
      </c>
      <c r="DK22" s="39">
        <f t="shared" si="48"/>
        <v>4110</v>
      </c>
    </row>
    <row r="23" spans="1:115" ht="15.6">
      <c r="A23" s="32">
        <f t="shared" si="19"/>
        <v>46102</v>
      </c>
      <c r="B23" s="10">
        <v>0</v>
      </c>
      <c r="C23" s="4">
        <v>52</v>
      </c>
      <c r="D23" s="4">
        <v>230</v>
      </c>
      <c r="E23" s="4"/>
      <c r="F23" s="4">
        <f>+B23+C23+D23+E23</f>
        <v>282</v>
      </c>
      <c r="G23" s="11">
        <f>B23*30</f>
        <v>0</v>
      </c>
      <c r="H23" s="4">
        <f t="shared" si="1"/>
        <v>1560</v>
      </c>
      <c r="I23" s="4">
        <f t="shared" si="2"/>
        <v>6900</v>
      </c>
      <c r="J23" s="4">
        <f t="shared" si="3"/>
        <v>0</v>
      </c>
      <c r="K23" s="30">
        <f t="shared" si="4"/>
        <v>8460</v>
      </c>
      <c r="L23" s="58">
        <f t="shared" si="5"/>
        <v>3134</v>
      </c>
      <c r="M23" s="206">
        <v>4</v>
      </c>
      <c r="N23" s="178">
        <v>35.9</v>
      </c>
      <c r="O23" s="178">
        <v>25</v>
      </c>
      <c r="P23" s="178">
        <v>183.35</v>
      </c>
      <c r="Q23" s="178">
        <v>12.9</v>
      </c>
      <c r="R23" s="178">
        <v>0</v>
      </c>
      <c r="S23" s="292">
        <v>10</v>
      </c>
      <c r="T23" s="292">
        <v>61</v>
      </c>
      <c r="U23" s="292">
        <v>41</v>
      </c>
      <c r="V23" s="292">
        <v>657</v>
      </c>
      <c r="W23" s="178">
        <f t="shared" si="54"/>
        <v>170.45</v>
      </c>
      <c r="X23" s="200">
        <v>0</v>
      </c>
      <c r="Y23" s="200">
        <v>0</v>
      </c>
      <c r="Z23" s="200">
        <v>0</v>
      </c>
      <c r="AA23" s="200">
        <v>0</v>
      </c>
      <c r="AB23" s="200">
        <v>0</v>
      </c>
      <c r="AC23" s="200">
        <v>0</v>
      </c>
      <c r="AD23" s="178">
        <v>0</v>
      </c>
      <c r="AE23" s="178">
        <v>5.0999999999999996</v>
      </c>
      <c r="AF23" s="178">
        <v>2</v>
      </c>
      <c r="AG23" s="178">
        <v>22</v>
      </c>
      <c r="AH23" s="178">
        <f t="shared" si="22"/>
        <v>638</v>
      </c>
      <c r="AI23" s="178">
        <v>141</v>
      </c>
      <c r="AJ23" s="200">
        <v>2</v>
      </c>
      <c r="AK23" s="200">
        <v>9.6</v>
      </c>
      <c r="AL23" s="200">
        <v>27</v>
      </c>
      <c r="AM23" s="200">
        <v>171.5</v>
      </c>
      <c r="AN23" s="275">
        <v>171.5</v>
      </c>
      <c r="AO23" s="275">
        <v>0</v>
      </c>
      <c r="AP23" s="275">
        <f t="shared" si="23"/>
        <v>0</v>
      </c>
      <c r="AQ23" s="275">
        <v>370</v>
      </c>
      <c r="AR23" s="62">
        <v>3</v>
      </c>
      <c r="AS23" s="62">
        <v>454</v>
      </c>
      <c r="AT23" s="62">
        <v>0</v>
      </c>
      <c r="AU23" s="60">
        <v>0</v>
      </c>
      <c r="AV23" s="62">
        <v>22.9</v>
      </c>
      <c r="AW23" s="62">
        <v>10.84</v>
      </c>
      <c r="AX23" s="62">
        <v>12</v>
      </c>
      <c r="AY23" s="62">
        <v>11</v>
      </c>
      <c r="AZ23" s="94">
        <v>1800</v>
      </c>
      <c r="BA23" s="94">
        <v>900</v>
      </c>
      <c r="BB23" s="95">
        <f t="shared" si="24"/>
        <v>900</v>
      </c>
      <c r="BC23" s="124">
        <v>7</v>
      </c>
      <c r="BD23" s="124">
        <v>4.7</v>
      </c>
      <c r="BE23" s="124">
        <v>500</v>
      </c>
      <c r="BF23" s="124">
        <v>250</v>
      </c>
      <c r="BG23" s="124">
        <v>250</v>
      </c>
      <c r="BH23" s="124">
        <v>3</v>
      </c>
      <c r="BI23" s="124">
        <v>7.5</v>
      </c>
      <c r="BJ23" s="124">
        <v>130</v>
      </c>
      <c r="BK23" s="124">
        <v>140</v>
      </c>
      <c r="BL23" s="124">
        <f t="shared" si="25"/>
        <v>270</v>
      </c>
      <c r="BM23" s="181">
        <f t="shared" si="6"/>
        <v>17.84</v>
      </c>
      <c r="BN23" s="181">
        <f t="shared" si="7"/>
        <v>19</v>
      </c>
      <c r="BO23" s="181">
        <f t="shared" si="8"/>
        <v>15.7</v>
      </c>
      <c r="BP23" s="181">
        <f t="shared" si="9"/>
        <v>2300</v>
      </c>
      <c r="BQ23" s="181">
        <f t="shared" si="26"/>
        <v>30.4</v>
      </c>
      <c r="BR23" s="181">
        <f t="shared" si="27"/>
        <v>584</v>
      </c>
      <c r="BS23" s="181">
        <f t="shared" si="28"/>
        <v>140</v>
      </c>
      <c r="BT23" s="181">
        <f t="shared" si="29"/>
        <v>724</v>
      </c>
      <c r="BU23" s="86">
        <v>7</v>
      </c>
      <c r="BV23" s="86">
        <v>700</v>
      </c>
      <c r="BW23" s="86">
        <v>2</v>
      </c>
      <c r="BX23" s="86">
        <v>10.9</v>
      </c>
      <c r="BY23" s="86">
        <v>112</v>
      </c>
      <c r="BZ23" s="86">
        <v>77</v>
      </c>
      <c r="CA23" s="86">
        <f t="shared" si="30"/>
        <v>189</v>
      </c>
      <c r="CB23" s="4">
        <f>2250-61</f>
        <v>2189</v>
      </c>
      <c r="CC23" s="4">
        <f>366-80</f>
        <v>286</v>
      </c>
      <c r="CD23" s="55">
        <f t="shared" si="31"/>
        <v>370</v>
      </c>
      <c r="CE23" s="4">
        <v>30</v>
      </c>
      <c r="CF23" s="4">
        <f t="shared" si="55"/>
        <v>0</v>
      </c>
      <c r="CG23" s="22">
        <f t="shared" si="11"/>
        <v>141</v>
      </c>
      <c r="CH23" s="4">
        <v>327</v>
      </c>
      <c r="CI23" s="4">
        <v>0</v>
      </c>
      <c r="CJ23" s="4">
        <f t="shared" si="32"/>
        <v>657</v>
      </c>
      <c r="CK23" s="37">
        <f t="shared" si="33"/>
        <v>4000</v>
      </c>
      <c r="CL23" s="4">
        <v>4000</v>
      </c>
      <c r="CM23" s="174">
        <f t="shared" si="49"/>
        <v>2</v>
      </c>
      <c r="CN23" s="173">
        <f t="shared" si="34"/>
        <v>4000</v>
      </c>
      <c r="CO23" s="173">
        <f t="shared" si="35"/>
        <v>4002</v>
      </c>
      <c r="CP23" s="174">
        <f t="shared" si="36"/>
        <v>4000</v>
      </c>
      <c r="CQ23" s="174">
        <f t="shared" si="37"/>
        <v>2</v>
      </c>
      <c r="CR23" s="91">
        <v>4279</v>
      </c>
      <c r="CS23" s="183">
        <f t="shared" si="12"/>
        <v>0</v>
      </c>
      <c r="CT23" s="184">
        <f t="shared" si="13"/>
        <v>141</v>
      </c>
      <c r="CU23" s="183">
        <f t="shared" si="38"/>
        <v>454</v>
      </c>
      <c r="CV23" s="185">
        <f t="shared" si="39"/>
        <v>270</v>
      </c>
      <c r="CW23" s="185">
        <f t="shared" si="14"/>
        <v>189</v>
      </c>
      <c r="CX23" s="185">
        <f t="shared" si="50"/>
        <v>657</v>
      </c>
      <c r="CY23" s="185">
        <f t="shared" si="16"/>
        <v>370</v>
      </c>
      <c r="CZ23" s="184">
        <f t="shared" si="51"/>
        <v>2198</v>
      </c>
      <c r="DA23" s="315">
        <f t="shared" si="41"/>
        <v>3225</v>
      </c>
      <c r="DC23" s="175">
        <f t="shared" si="17"/>
        <v>2568</v>
      </c>
      <c r="DD23" s="177">
        <f t="shared" si="18"/>
        <v>913</v>
      </c>
      <c r="DE23" s="32">
        <f t="shared" si="42"/>
        <v>46102</v>
      </c>
      <c r="DF23" s="39">
        <f t="shared" si="43"/>
        <v>230</v>
      </c>
      <c r="DG23" s="39">
        <f t="shared" si="44"/>
        <v>6900</v>
      </c>
      <c r="DH23" s="39">
        <f t="shared" si="45"/>
        <v>52</v>
      </c>
      <c r="DI23" s="39">
        <f t="shared" si="46"/>
        <v>1560</v>
      </c>
      <c r="DJ23" s="39">
        <f t="shared" si="47"/>
        <v>282</v>
      </c>
      <c r="DK23" s="39">
        <f t="shared" si="48"/>
        <v>8460</v>
      </c>
    </row>
    <row r="24" spans="1:115" ht="15.6">
      <c r="A24" s="32">
        <f t="shared" si="19"/>
        <v>46103</v>
      </c>
      <c r="B24" s="10">
        <v>6</v>
      </c>
      <c r="C24" s="4">
        <v>9</v>
      </c>
      <c r="D24" s="4">
        <v>134</v>
      </c>
      <c r="E24" s="4"/>
      <c r="F24" s="4">
        <f>+B24+C24+D24+E24</f>
        <v>149</v>
      </c>
      <c r="G24" s="4">
        <f>B24*30</f>
        <v>180</v>
      </c>
      <c r="H24" s="4">
        <f t="shared" si="1"/>
        <v>270</v>
      </c>
      <c r="I24" s="4">
        <f t="shared" si="2"/>
        <v>4020</v>
      </c>
      <c r="J24" s="4">
        <f t="shared" si="3"/>
        <v>0</v>
      </c>
      <c r="K24" s="30">
        <f t="shared" si="4"/>
        <v>4470</v>
      </c>
      <c r="L24" s="58">
        <f t="shared" si="5"/>
        <v>1656</v>
      </c>
      <c r="M24" s="206">
        <v>4</v>
      </c>
      <c r="N24" s="178">
        <v>22</v>
      </c>
      <c r="O24" s="178">
        <v>27</v>
      </c>
      <c r="P24" s="178">
        <v>136.44999999999999</v>
      </c>
      <c r="Q24" s="178">
        <v>3</v>
      </c>
      <c r="R24" s="178">
        <v>26.75</v>
      </c>
      <c r="S24" s="292">
        <v>3.9</v>
      </c>
      <c r="T24" s="292">
        <v>16</v>
      </c>
      <c r="U24" s="292">
        <v>14.7</v>
      </c>
      <c r="V24" s="292">
        <v>150</v>
      </c>
      <c r="W24" s="178">
        <f t="shared" si="54"/>
        <v>106.69999999999999</v>
      </c>
      <c r="X24" s="200">
        <v>3.7</v>
      </c>
      <c r="Y24" s="200">
        <v>8.5</v>
      </c>
      <c r="Z24" s="200">
        <v>9</v>
      </c>
      <c r="AA24" s="200">
        <v>62</v>
      </c>
      <c r="AB24" s="200">
        <v>2104.96</v>
      </c>
      <c r="AC24" s="200">
        <v>500</v>
      </c>
      <c r="AD24" s="178">
        <v>1.6</v>
      </c>
      <c r="AE24" s="178">
        <v>1.5</v>
      </c>
      <c r="AF24" s="178">
        <v>2</v>
      </c>
      <c r="AG24" s="178">
        <v>11</v>
      </c>
      <c r="AH24" s="178">
        <f t="shared" si="22"/>
        <v>319</v>
      </c>
      <c r="AI24" s="178">
        <v>120</v>
      </c>
      <c r="AJ24" s="200">
        <v>2</v>
      </c>
      <c r="AK24" s="200">
        <v>9.4</v>
      </c>
      <c r="AL24" s="200">
        <v>29</v>
      </c>
      <c r="AM24" s="200">
        <v>161.1</v>
      </c>
      <c r="AN24" s="275">
        <v>0</v>
      </c>
      <c r="AO24" s="275">
        <v>161.1</v>
      </c>
      <c r="AP24" s="275">
        <f t="shared" si="23"/>
        <v>0</v>
      </c>
      <c r="AQ24" s="275">
        <v>331</v>
      </c>
      <c r="AR24" s="62">
        <v>1</v>
      </c>
      <c r="AS24" s="62">
        <v>40</v>
      </c>
      <c r="AT24" s="62">
        <v>114</v>
      </c>
      <c r="AU24" s="60">
        <v>1.06</v>
      </c>
      <c r="AV24" s="62">
        <v>3.8</v>
      </c>
      <c r="AW24" s="62">
        <v>0</v>
      </c>
      <c r="AX24" s="62">
        <v>0</v>
      </c>
      <c r="AY24" s="62">
        <v>0</v>
      </c>
      <c r="AZ24" s="94">
        <v>0</v>
      </c>
      <c r="BA24" s="94">
        <v>0</v>
      </c>
      <c r="BB24" s="95">
        <f t="shared" si="24"/>
        <v>0</v>
      </c>
      <c r="BC24" s="124">
        <v>4</v>
      </c>
      <c r="BD24" s="124">
        <v>3.3</v>
      </c>
      <c r="BE24" s="124">
        <v>400</v>
      </c>
      <c r="BF24" s="124">
        <v>200</v>
      </c>
      <c r="BG24" s="124">
        <v>200</v>
      </c>
      <c r="BH24" s="124">
        <v>2</v>
      </c>
      <c r="BI24" s="124">
        <v>6.1</v>
      </c>
      <c r="BJ24" s="124">
        <v>100</v>
      </c>
      <c r="BK24" s="124">
        <v>180</v>
      </c>
      <c r="BL24" s="124">
        <f t="shared" si="25"/>
        <v>280</v>
      </c>
      <c r="BM24" s="181">
        <f t="shared" si="6"/>
        <v>4</v>
      </c>
      <c r="BN24" s="181">
        <f t="shared" si="7"/>
        <v>4</v>
      </c>
      <c r="BO24" s="181">
        <f t="shared" si="8"/>
        <v>3.3</v>
      </c>
      <c r="BP24" s="181">
        <f t="shared" si="9"/>
        <v>400</v>
      </c>
      <c r="BQ24" s="181">
        <f t="shared" si="26"/>
        <v>9.8999999999999986</v>
      </c>
      <c r="BR24" s="181">
        <f t="shared" si="27"/>
        <v>140</v>
      </c>
      <c r="BS24" s="181">
        <f t="shared" si="28"/>
        <v>294</v>
      </c>
      <c r="BT24" s="181">
        <f t="shared" si="29"/>
        <v>434</v>
      </c>
      <c r="BU24" s="86">
        <v>3.8</v>
      </c>
      <c r="BV24" s="86">
        <v>400</v>
      </c>
      <c r="BW24" s="86">
        <v>2</v>
      </c>
      <c r="BX24" s="86">
        <v>7.4</v>
      </c>
      <c r="BY24" s="86">
        <v>107</v>
      </c>
      <c r="BZ24" s="86">
        <v>40</v>
      </c>
      <c r="CA24" s="86">
        <f t="shared" si="30"/>
        <v>147</v>
      </c>
      <c r="CB24" s="4">
        <f>2470-525</f>
        <v>1945</v>
      </c>
      <c r="CC24" s="4">
        <f>218-95</f>
        <v>123</v>
      </c>
      <c r="CD24" s="55">
        <f t="shared" si="31"/>
        <v>331</v>
      </c>
      <c r="CE24" s="4">
        <v>124</v>
      </c>
      <c r="CF24" s="4">
        <f t="shared" si="55"/>
        <v>500</v>
      </c>
      <c r="CG24" s="22">
        <f t="shared" si="11"/>
        <v>120</v>
      </c>
      <c r="CH24" s="4">
        <v>400</v>
      </c>
      <c r="CI24" s="4">
        <v>100</v>
      </c>
      <c r="CJ24" s="4">
        <f t="shared" si="32"/>
        <v>150</v>
      </c>
      <c r="CK24" s="37">
        <f t="shared" si="33"/>
        <v>3793</v>
      </c>
      <c r="CL24" s="4">
        <v>4000</v>
      </c>
      <c r="CM24" s="174">
        <f t="shared" si="49"/>
        <v>2</v>
      </c>
      <c r="CN24" s="173">
        <f t="shared" si="34"/>
        <v>4000</v>
      </c>
      <c r="CO24" s="173">
        <f t="shared" si="35"/>
        <v>4002</v>
      </c>
      <c r="CP24" s="174">
        <f t="shared" si="36"/>
        <v>3793</v>
      </c>
      <c r="CQ24" s="174">
        <f t="shared" si="37"/>
        <v>209</v>
      </c>
      <c r="CR24" s="91">
        <v>3459</v>
      </c>
      <c r="CS24" s="183">
        <f t="shared" si="12"/>
        <v>500</v>
      </c>
      <c r="CT24" s="184">
        <f t="shared" si="13"/>
        <v>120</v>
      </c>
      <c r="CU24" s="183">
        <f t="shared" si="38"/>
        <v>154</v>
      </c>
      <c r="CV24" s="185">
        <f t="shared" si="39"/>
        <v>280</v>
      </c>
      <c r="CW24" s="185">
        <f t="shared" si="14"/>
        <v>147</v>
      </c>
      <c r="CX24" s="185">
        <f t="shared" si="50"/>
        <v>150</v>
      </c>
      <c r="CY24" s="185">
        <f t="shared" si="16"/>
        <v>331</v>
      </c>
      <c r="CZ24" s="184">
        <f t="shared" si="51"/>
        <v>1777</v>
      </c>
      <c r="DA24" s="315">
        <f t="shared" si="41"/>
        <v>2258</v>
      </c>
      <c r="DB24" s="70">
        <v>6874</v>
      </c>
      <c r="DC24" s="175">
        <f t="shared" si="17"/>
        <v>2108</v>
      </c>
      <c r="DD24" s="177">
        <f t="shared" si="18"/>
        <v>581</v>
      </c>
      <c r="DE24" s="32">
        <f t="shared" si="42"/>
        <v>46103</v>
      </c>
      <c r="DF24" s="39">
        <f t="shared" si="43"/>
        <v>134</v>
      </c>
      <c r="DG24" s="39">
        <f t="shared" si="44"/>
        <v>4020</v>
      </c>
      <c r="DH24" s="39">
        <f t="shared" si="45"/>
        <v>15</v>
      </c>
      <c r="DI24" s="39">
        <f t="shared" si="46"/>
        <v>450</v>
      </c>
      <c r="DJ24" s="39">
        <f t="shared" si="47"/>
        <v>149</v>
      </c>
      <c r="DK24" s="39">
        <f t="shared" si="48"/>
        <v>4470</v>
      </c>
    </row>
    <row r="25" spans="1:115" ht="18">
      <c r="A25" s="32">
        <f t="shared" si="19"/>
        <v>46104</v>
      </c>
      <c r="B25" s="34">
        <v>60</v>
      </c>
      <c r="C25" s="4">
        <v>27</v>
      </c>
      <c r="D25" s="4">
        <v>110</v>
      </c>
      <c r="E25" s="4"/>
      <c r="F25" s="4">
        <f t="shared" si="20"/>
        <v>197</v>
      </c>
      <c r="G25" s="11">
        <f t="shared" si="0"/>
        <v>1800</v>
      </c>
      <c r="H25" s="4">
        <f t="shared" si="1"/>
        <v>810</v>
      </c>
      <c r="I25" s="4">
        <f t="shared" si="2"/>
        <v>3300</v>
      </c>
      <c r="J25" s="4">
        <f t="shared" si="3"/>
        <v>0</v>
      </c>
      <c r="K25" s="30">
        <f t="shared" si="4"/>
        <v>5910</v>
      </c>
      <c r="L25" s="58">
        <f t="shared" si="5"/>
        <v>2189</v>
      </c>
      <c r="M25" s="206">
        <v>4</v>
      </c>
      <c r="N25" s="178">
        <v>28.9</v>
      </c>
      <c r="O25" s="178">
        <v>28</v>
      </c>
      <c r="P25" s="178">
        <v>197.2</v>
      </c>
      <c r="Q25" s="178">
        <v>2.4</v>
      </c>
      <c r="R25" s="178">
        <v>52.6</v>
      </c>
      <c r="S25" s="292">
        <v>8.5</v>
      </c>
      <c r="T25" s="292">
        <v>46</v>
      </c>
      <c r="U25" s="292">
        <v>35.200000000000003</v>
      </c>
      <c r="V25" s="292">
        <v>815</v>
      </c>
      <c r="W25" s="178">
        <f t="shared" si="54"/>
        <v>142.19999999999999</v>
      </c>
      <c r="X25" s="200">
        <v>3.7</v>
      </c>
      <c r="Y25" s="200">
        <v>12.6</v>
      </c>
      <c r="Z25" s="200">
        <v>11</v>
      </c>
      <c r="AA25" s="200">
        <v>131</v>
      </c>
      <c r="AB25" s="200">
        <v>4300.6499999999996</v>
      </c>
      <c r="AC25" s="200">
        <v>600</v>
      </c>
      <c r="AD25" s="178">
        <v>1.7</v>
      </c>
      <c r="AE25" s="178">
        <v>0</v>
      </c>
      <c r="AF25" s="178">
        <v>2</v>
      </c>
      <c r="AG25" s="178">
        <v>8</v>
      </c>
      <c r="AH25" s="178">
        <f t="shared" si="22"/>
        <v>232</v>
      </c>
      <c r="AI25" s="178">
        <v>35</v>
      </c>
      <c r="AJ25" s="200">
        <v>2</v>
      </c>
      <c r="AK25" s="200">
        <v>10</v>
      </c>
      <c r="AL25" s="200">
        <v>38</v>
      </c>
      <c r="AM25" s="200">
        <v>189.6</v>
      </c>
      <c r="AN25" s="275">
        <v>0</v>
      </c>
      <c r="AO25" s="275">
        <v>189.6</v>
      </c>
      <c r="AP25" s="275">
        <f t="shared" si="23"/>
        <v>0</v>
      </c>
      <c r="AQ25" s="275">
        <v>60</v>
      </c>
      <c r="AR25" s="62">
        <v>3</v>
      </c>
      <c r="AS25" s="62">
        <v>172</v>
      </c>
      <c r="AT25" s="62">
        <v>0</v>
      </c>
      <c r="AU25" s="62">
        <v>0</v>
      </c>
      <c r="AV25" s="62">
        <v>13.4</v>
      </c>
      <c r="AW25" s="62">
        <v>8.86</v>
      </c>
      <c r="AX25" s="62">
        <v>10</v>
      </c>
      <c r="AY25" s="62">
        <v>10</v>
      </c>
      <c r="AZ25" s="269">
        <v>1400</v>
      </c>
      <c r="BA25" s="94">
        <v>700</v>
      </c>
      <c r="BB25" s="95">
        <f t="shared" si="24"/>
        <v>700</v>
      </c>
      <c r="BC25" s="124">
        <v>4</v>
      </c>
      <c r="BD25" s="124">
        <v>4.0999999999999996</v>
      </c>
      <c r="BE25" s="124">
        <v>400</v>
      </c>
      <c r="BF25" s="124">
        <v>200</v>
      </c>
      <c r="BG25" s="124">
        <v>200</v>
      </c>
      <c r="BH25" s="124">
        <v>2</v>
      </c>
      <c r="BI25" s="124">
        <v>6</v>
      </c>
      <c r="BJ25" s="124">
        <v>63</v>
      </c>
      <c r="BK25" s="124">
        <v>100</v>
      </c>
      <c r="BL25" s="124">
        <f t="shared" si="25"/>
        <v>163</v>
      </c>
      <c r="BM25" s="181">
        <f t="shared" si="6"/>
        <v>12.86</v>
      </c>
      <c r="BN25" s="181">
        <f t="shared" si="7"/>
        <v>14</v>
      </c>
      <c r="BO25" s="181">
        <f t="shared" si="8"/>
        <v>14.1</v>
      </c>
      <c r="BP25" s="181">
        <f t="shared" si="9"/>
        <v>1800</v>
      </c>
      <c r="BQ25" s="181">
        <f t="shared" si="26"/>
        <v>19.399999999999999</v>
      </c>
      <c r="BR25" s="181">
        <f t="shared" si="27"/>
        <v>235</v>
      </c>
      <c r="BS25" s="181">
        <f t="shared" si="28"/>
        <v>100</v>
      </c>
      <c r="BT25" s="181">
        <f t="shared" si="29"/>
        <v>335</v>
      </c>
      <c r="BU25" s="86">
        <v>4.5</v>
      </c>
      <c r="BV25" s="86">
        <v>450</v>
      </c>
      <c r="BW25" s="86">
        <v>2</v>
      </c>
      <c r="BX25" s="86">
        <v>10.3</v>
      </c>
      <c r="BY25" s="86">
        <v>127</v>
      </c>
      <c r="BZ25" s="86">
        <v>60</v>
      </c>
      <c r="CA25" s="86">
        <f t="shared" si="30"/>
        <v>187</v>
      </c>
      <c r="CB25" s="4">
        <f>1460-535</f>
        <v>925</v>
      </c>
      <c r="CC25" s="4">
        <v>0</v>
      </c>
      <c r="CD25" s="55">
        <f t="shared" si="31"/>
        <v>60</v>
      </c>
      <c r="CE25" s="4">
        <v>272</v>
      </c>
      <c r="CF25" s="4">
        <f t="shared" si="55"/>
        <v>600</v>
      </c>
      <c r="CG25" s="22">
        <f t="shared" si="11"/>
        <v>35</v>
      </c>
      <c r="CH25" s="4">
        <v>0</v>
      </c>
      <c r="CI25" s="4">
        <v>0</v>
      </c>
      <c r="CJ25" s="4">
        <f t="shared" si="32"/>
        <v>815</v>
      </c>
      <c r="CK25" s="37">
        <f t="shared" si="33"/>
        <v>2707</v>
      </c>
      <c r="CL25" s="4">
        <v>2500</v>
      </c>
      <c r="CM25" s="174">
        <f t="shared" si="49"/>
        <v>209</v>
      </c>
      <c r="CN25" s="173">
        <f t="shared" si="34"/>
        <v>2500</v>
      </c>
      <c r="CO25" s="173">
        <f t="shared" si="35"/>
        <v>2709</v>
      </c>
      <c r="CP25" s="174">
        <f t="shared" si="36"/>
        <v>2707</v>
      </c>
      <c r="CQ25" s="174">
        <f t="shared" si="37"/>
        <v>2</v>
      </c>
      <c r="CR25" s="91">
        <v>3700</v>
      </c>
      <c r="CS25" s="183">
        <f t="shared" si="12"/>
        <v>600</v>
      </c>
      <c r="CT25" s="184">
        <f t="shared" si="13"/>
        <v>35</v>
      </c>
      <c r="CU25" s="183">
        <f t="shared" si="38"/>
        <v>172</v>
      </c>
      <c r="CV25" s="185">
        <f t="shared" si="39"/>
        <v>163</v>
      </c>
      <c r="CW25" s="185">
        <f t="shared" si="14"/>
        <v>187</v>
      </c>
      <c r="CX25" s="185">
        <f t="shared" si="50"/>
        <v>815</v>
      </c>
      <c r="CY25" s="185">
        <f t="shared" si="16"/>
        <v>60</v>
      </c>
      <c r="CZ25" s="184">
        <f t="shared" si="51"/>
        <v>1668</v>
      </c>
      <c r="DA25" s="315">
        <f t="shared" si="41"/>
        <v>2543</v>
      </c>
      <c r="DB25" s="70">
        <v>5881</v>
      </c>
      <c r="DC25" s="175">
        <f t="shared" si="17"/>
        <v>1728</v>
      </c>
      <c r="DD25" s="177">
        <f t="shared" si="18"/>
        <v>522</v>
      </c>
      <c r="DE25" s="32">
        <f t="shared" si="42"/>
        <v>46104</v>
      </c>
      <c r="DF25" s="39">
        <f t="shared" si="43"/>
        <v>110</v>
      </c>
      <c r="DG25" s="39">
        <f t="shared" si="44"/>
        <v>3300</v>
      </c>
      <c r="DH25" s="39">
        <f t="shared" si="45"/>
        <v>87</v>
      </c>
      <c r="DI25" s="39">
        <f t="shared" si="46"/>
        <v>2610</v>
      </c>
      <c r="DJ25" s="39">
        <f t="shared" si="47"/>
        <v>197</v>
      </c>
      <c r="DK25" s="39">
        <f t="shared" si="48"/>
        <v>5910</v>
      </c>
    </row>
    <row r="26" spans="1:115" ht="18">
      <c r="A26" s="32">
        <f t="shared" si="19"/>
        <v>46105</v>
      </c>
      <c r="B26" s="10">
        <v>31</v>
      </c>
      <c r="C26" s="4">
        <v>0</v>
      </c>
      <c r="D26" s="4">
        <v>135</v>
      </c>
      <c r="E26" s="4"/>
      <c r="F26" s="4">
        <f t="shared" si="20"/>
        <v>166</v>
      </c>
      <c r="G26" s="11">
        <f t="shared" si="0"/>
        <v>930</v>
      </c>
      <c r="H26" s="4">
        <f t="shared" si="1"/>
        <v>0</v>
      </c>
      <c r="I26" s="4">
        <f t="shared" si="2"/>
        <v>4050</v>
      </c>
      <c r="J26" s="4">
        <f t="shared" si="3"/>
        <v>0</v>
      </c>
      <c r="K26" s="30">
        <f t="shared" si="4"/>
        <v>4980</v>
      </c>
      <c r="L26" s="58">
        <f t="shared" si="5"/>
        <v>1845</v>
      </c>
      <c r="M26" s="206">
        <v>4</v>
      </c>
      <c r="N26" s="178">
        <v>25.4</v>
      </c>
      <c r="O26" s="178">
        <v>26</v>
      </c>
      <c r="P26" s="178">
        <v>153.30000000000001</v>
      </c>
      <c r="Q26" s="178">
        <v>2</v>
      </c>
      <c r="R26" s="178">
        <v>55.35</v>
      </c>
      <c r="S26" s="292">
        <v>9</v>
      </c>
      <c r="T26" s="292">
        <v>20</v>
      </c>
      <c r="U26" s="292">
        <v>17.899999999999999</v>
      </c>
      <c r="V26" s="292">
        <v>300</v>
      </c>
      <c r="W26" s="178">
        <f t="shared" si="54"/>
        <v>95.950000000000017</v>
      </c>
      <c r="X26" s="200">
        <v>4.7</v>
      </c>
      <c r="Y26" s="200">
        <v>12.9</v>
      </c>
      <c r="Z26" s="200">
        <v>10</v>
      </c>
      <c r="AA26" s="200">
        <v>128</v>
      </c>
      <c r="AB26" s="200">
        <v>4252.6899999999996</v>
      </c>
      <c r="AC26" s="200">
        <v>630</v>
      </c>
      <c r="AD26" s="178">
        <v>1</v>
      </c>
      <c r="AE26" s="178">
        <v>0</v>
      </c>
      <c r="AF26" s="178">
        <v>2</v>
      </c>
      <c r="AG26" s="178">
        <v>5</v>
      </c>
      <c r="AH26" s="178">
        <f t="shared" si="22"/>
        <v>145</v>
      </c>
      <c r="AI26" s="178">
        <v>36</v>
      </c>
      <c r="AJ26" s="200">
        <v>2</v>
      </c>
      <c r="AK26" s="200">
        <v>6.1</v>
      </c>
      <c r="AL26" s="200">
        <v>28</v>
      </c>
      <c r="AM26" s="200">
        <v>102.4</v>
      </c>
      <c r="AN26" s="275">
        <v>0</v>
      </c>
      <c r="AO26" s="275">
        <v>102.4</v>
      </c>
      <c r="AP26" s="275">
        <f t="shared" si="23"/>
        <v>0</v>
      </c>
      <c r="AQ26" s="275">
        <v>300</v>
      </c>
      <c r="AR26" s="62">
        <v>3</v>
      </c>
      <c r="AS26" s="62">
        <v>225</v>
      </c>
      <c r="AT26" s="62">
        <v>0</v>
      </c>
      <c r="AU26" s="62">
        <v>0</v>
      </c>
      <c r="AV26" s="62">
        <v>14.4</v>
      </c>
      <c r="AW26" s="62">
        <v>11.23</v>
      </c>
      <c r="AX26" s="62">
        <v>11</v>
      </c>
      <c r="AY26" s="62">
        <v>12</v>
      </c>
      <c r="AZ26" s="269">
        <v>1600</v>
      </c>
      <c r="BA26" s="269">
        <v>800</v>
      </c>
      <c r="BB26" s="95">
        <f t="shared" si="24"/>
        <v>800</v>
      </c>
      <c r="BC26" s="124">
        <v>8</v>
      </c>
      <c r="BD26" s="124">
        <v>3.7</v>
      </c>
      <c r="BE26" s="124">
        <v>300</v>
      </c>
      <c r="BF26" s="124">
        <v>150</v>
      </c>
      <c r="BG26" s="124">
        <v>150</v>
      </c>
      <c r="BH26" s="124">
        <v>2</v>
      </c>
      <c r="BI26" s="124">
        <v>5.8</v>
      </c>
      <c r="BJ26" s="124">
        <v>77</v>
      </c>
      <c r="BK26" s="124">
        <v>90</v>
      </c>
      <c r="BL26" s="124">
        <f t="shared" si="25"/>
        <v>167</v>
      </c>
      <c r="BM26" s="181">
        <f t="shared" si="6"/>
        <v>19.23</v>
      </c>
      <c r="BN26" s="181">
        <f t="shared" si="7"/>
        <v>19</v>
      </c>
      <c r="BO26" s="181">
        <f t="shared" si="8"/>
        <v>15.7</v>
      </c>
      <c r="BP26" s="181">
        <f t="shared" si="9"/>
        <v>1900</v>
      </c>
      <c r="BQ26" s="181">
        <f t="shared" si="26"/>
        <v>20.2</v>
      </c>
      <c r="BR26" s="181">
        <f t="shared" si="27"/>
        <v>302</v>
      </c>
      <c r="BS26" s="181">
        <f t="shared" si="28"/>
        <v>90</v>
      </c>
      <c r="BT26" s="181">
        <f t="shared" si="29"/>
        <v>392</v>
      </c>
      <c r="BU26" s="86">
        <v>1</v>
      </c>
      <c r="BV26" s="86">
        <v>100</v>
      </c>
      <c r="BW26" s="86">
        <v>3</v>
      </c>
      <c r="BX26" s="86">
        <v>8.1</v>
      </c>
      <c r="BY26" s="86">
        <v>100</v>
      </c>
      <c r="BZ26" s="86">
        <v>60</v>
      </c>
      <c r="CA26" s="86">
        <f t="shared" si="30"/>
        <v>160</v>
      </c>
      <c r="CB26" s="4">
        <f>2024-431</f>
        <v>1593</v>
      </c>
      <c r="CC26" s="4">
        <f>685-235</f>
        <v>450</v>
      </c>
      <c r="CD26" s="55">
        <f t="shared" si="31"/>
        <v>300</v>
      </c>
      <c r="CE26" s="4">
        <v>189</v>
      </c>
      <c r="CF26" s="4">
        <f t="shared" si="55"/>
        <v>630</v>
      </c>
      <c r="CG26" s="22">
        <f t="shared" si="11"/>
        <v>36</v>
      </c>
      <c r="CH26" s="4">
        <v>200</v>
      </c>
      <c r="CI26" s="4">
        <v>300</v>
      </c>
      <c r="CJ26" s="4">
        <f t="shared" si="32"/>
        <v>300</v>
      </c>
      <c r="CK26" s="37">
        <f t="shared" si="33"/>
        <v>3998</v>
      </c>
      <c r="CL26" s="4">
        <v>4000</v>
      </c>
      <c r="CM26" s="174">
        <f t="shared" si="49"/>
        <v>2</v>
      </c>
      <c r="CN26" s="173">
        <f t="shared" si="34"/>
        <v>4000</v>
      </c>
      <c r="CO26" s="173">
        <f t="shared" si="35"/>
        <v>4002</v>
      </c>
      <c r="CP26" s="174">
        <f t="shared" si="36"/>
        <v>3998</v>
      </c>
      <c r="CQ26" s="174">
        <f t="shared" si="37"/>
        <v>4</v>
      </c>
      <c r="CR26" s="91">
        <v>3422</v>
      </c>
      <c r="CS26" s="183">
        <f t="shared" si="12"/>
        <v>630</v>
      </c>
      <c r="CT26" s="184">
        <f t="shared" si="13"/>
        <v>36</v>
      </c>
      <c r="CU26" s="183">
        <f t="shared" si="38"/>
        <v>225</v>
      </c>
      <c r="CV26" s="185">
        <f t="shared" si="39"/>
        <v>167</v>
      </c>
      <c r="CW26" s="185">
        <f t="shared" si="14"/>
        <v>160</v>
      </c>
      <c r="CX26" s="185">
        <f t="shared" si="50"/>
        <v>300</v>
      </c>
      <c r="CY26" s="185">
        <f t="shared" si="16"/>
        <v>300</v>
      </c>
      <c r="CZ26" s="184">
        <f t="shared" si="51"/>
        <v>1604</v>
      </c>
      <c r="DA26" s="315">
        <f t="shared" si="41"/>
        <v>2204</v>
      </c>
      <c r="DB26" s="70">
        <v>6152</v>
      </c>
      <c r="DC26" s="175">
        <f t="shared" si="17"/>
        <v>1904</v>
      </c>
      <c r="DD26" s="177">
        <f t="shared" si="18"/>
        <v>552</v>
      </c>
      <c r="DE26" s="32">
        <f t="shared" si="42"/>
        <v>46105</v>
      </c>
      <c r="DF26" s="39">
        <f t="shared" si="43"/>
        <v>135</v>
      </c>
      <c r="DG26" s="39">
        <f t="shared" si="44"/>
        <v>4050</v>
      </c>
      <c r="DH26" s="39">
        <f t="shared" si="45"/>
        <v>31</v>
      </c>
      <c r="DI26" s="39">
        <f t="shared" si="46"/>
        <v>930</v>
      </c>
      <c r="DJ26" s="39">
        <f t="shared" si="47"/>
        <v>166</v>
      </c>
      <c r="DK26" s="39">
        <f t="shared" si="48"/>
        <v>4980</v>
      </c>
    </row>
    <row r="27" spans="1:115" ht="18">
      <c r="A27" s="32">
        <f t="shared" si="19"/>
        <v>46106</v>
      </c>
      <c r="B27" s="34">
        <v>73</v>
      </c>
      <c r="C27" s="4">
        <v>0</v>
      </c>
      <c r="D27" s="4">
        <v>38</v>
      </c>
      <c r="E27" s="4"/>
      <c r="F27" s="4">
        <f t="shared" si="20"/>
        <v>111</v>
      </c>
      <c r="G27" s="4">
        <f t="shared" si="0"/>
        <v>2190</v>
      </c>
      <c r="H27" s="4">
        <f t="shared" si="1"/>
        <v>0</v>
      </c>
      <c r="I27" s="4">
        <f t="shared" si="2"/>
        <v>1140</v>
      </c>
      <c r="J27" s="4">
        <f t="shared" si="3"/>
        <v>0</v>
      </c>
      <c r="K27" s="30">
        <f t="shared" si="4"/>
        <v>3330</v>
      </c>
      <c r="L27" s="58">
        <f t="shared" si="5"/>
        <v>1234</v>
      </c>
      <c r="M27" s="206">
        <v>3</v>
      </c>
      <c r="N27" s="178">
        <v>18.2</v>
      </c>
      <c r="O27" s="178">
        <v>27</v>
      </c>
      <c r="P27" s="178">
        <v>171.3</v>
      </c>
      <c r="Q27" s="178">
        <v>29.5</v>
      </c>
      <c r="R27" s="178">
        <v>55.9</v>
      </c>
      <c r="S27" s="292">
        <v>8.1</v>
      </c>
      <c r="T27" s="292">
        <v>31</v>
      </c>
      <c r="U27" s="292">
        <v>24</v>
      </c>
      <c r="V27" s="292">
        <v>530</v>
      </c>
      <c r="W27" s="178">
        <f t="shared" si="54"/>
        <v>85.9</v>
      </c>
      <c r="X27" s="200">
        <v>6.1</v>
      </c>
      <c r="Y27" s="200">
        <v>8.6</v>
      </c>
      <c r="Z27" s="200">
        <v>10</v>
      </c>
      <c r="AA27" s="200">
        <v>120</v>
      </c>
      <c r="AB27" s="200">
        <v>3952.2899999999995</v>
      </c>
      <c r="AC27" s="200">
        <v>545</v>
      </c>
      <c r="AD27" s="178">
        <v>9.5</v>
      </c>
      <c r="AE27" s="178">
        <v>0</v>
      </c>
      <c r="AF27" s="178">
        <v>6</v>
      </c>
      <c r="AG27" s="178">
        <v>73</v>
      </c>
      <c r="AH27" s="178">
        <f t="shared" si="22"/>
        <v>2117</v>
      </c>
      <c r="AI27" s="178">
        <v>400</v>
      </c>
      <c r="AJ27" s="200">
        <v>2</v>
      </c>
      <c r="AK27" s="200">
        <v>5</v>
      </c>
      <c r="AL27" s="200">
        <v>14</v>
      </c>
      <c r="AM27" s="200">
        <v>91.8</v>
      </c>
      <c r="AN27" s="275">
        <v>0</v>
      </c>
      <c r="AO27" s="275">
        <v>91.8</v>
      </c>
      <c r="AP27" s="275">
        <f t="shared" si="23"/>
        <v>0</v>
      </c>
      <c r="AQ27" s="275">
        <v>206</v>
      </c>
      <c r="AR27" s="62">
        <v>3</v>
      </c>
      <c r="AS27" s="62">
        <v>248</v>
      </c>
      <c r="AT27" s="62">
        <v>0</v>
      </c>
      <c r="AU27" s="62">
        <v>0</v>
      </c>
      <c r="AV27" s="62">
        <v>20.3</v>
      </c>
      <c r="AW27" s="62">
        <v>9.1199999999999992</v>
      </c>
      <c r="AX27" s="62">
        <v>11</v>
      </c>
      <c r="AY27" s="62">
        <v>10</v>
      </c>
      <c r="AZ27" s="269">
        <v>1300</v>
      </c>
      <c r="BA27" s="269">
        <v>650</v>
      </c>
      <c r="BB27" s="95">
        <f t="shared" si="24"/>
        <v>650</v>
      </c>
      <c r="BC27" s="124">
        <v>5</v>
      </c>
      <c r="BD27" s="124">
        <v>4.4000000000000004</v>
      </c>
      <c r="BE27" s="124">
        <v>400</v>
      </c>
      <c r="BF27" s="124">
        <v>200</v>
      </c>
      <c r="BG27" s="124">
        <v>200</v>
      </c>
      <c r="BH27" s="124">
        <v>1</v>
      </c>
      <c r="BI27" s="124">
        <v>4.0999999999999996</v>
      </c>
      <c r="BJ27" s="124">
        <v>50</v>
      </c>
      <c r="BK27" s="124">
        <v>50</v>
      </c>
      <c r="BL27" s="124">
        <f t="shared" si="25"/>
        <v>100</v>
      </c>
      <c r="BM27" s="181">
        <f t="shared" si="6"/>
        <v>14.12</v>
      </c>
      <c r="BN27" s="181">
        <f t="shared" si="7"/>
        <v>16</v>
      </c>
      <c r="BO27" s="181">
        <f t="shared" si="8"/>
        <v>14.4</v>
      </c>
      <c r="BP27" s="181">
        <f t="shared" si="9"/>
        <v>1700</v>
      </c>
      <c r="BQ27" s="181">
        <f t="shared" si="26"/>
        <v>24.4</v>
      </c>
      <c r="BR27" s="181">
        <f t="shared" si="27"/>
        <v>298</v>
      </c>
      <c r="BS27" s="181">
        <f t="shared" si="28"/>
        <v>50</v>
      </c>
      <c r="BT27" s="181">
        <f t="shared" si="29"/>
        <v>348</v>
      </c>
      <c r="BU27" s="86">
        <v>0</v>
      </c>
      <c r="BV27" s="86">
        <v>0</v>
      </c>
      <c r="BW27" s="86">
        <v>0</v>
      </c>
      <c r="BX27" s="86">
        <v>0</v>
      </c>
      <c r="BY27" s="86">
        <v>0</v>
      </c>
      <c r="BZ27" s="86">
        <v>0</v>
      </c>
      <c r="CA27" s="86">
        <v>0</v>
      </c>
      <c r="CB27" s="4">
        <f>2347-845-50</f>
        <v>1452</v>
      </c>
      <c r="CC27" s="4">
        <v>446</v>
      </c>
      <c r="CD27" s="55">
        <f t="shared" si="31"/>
        <v>206</v>
      </c>
      <c r="CE27" s="4">
        <v>221</v>
      </c>
      <c r="CF27" s="4">
        <f t="shared" si="55"/>
        <v>545</v>
      </c>
      <c r="CG27" s="22">
        <f t="shared" si="11"/>
        <v>400</v>
      </c>
      <c r="CH27" s="4">
        <v>200</v>
      </c>
      <c r="CI27" s="4">
        <v>0</v>
      </c>
      <c r="CJ27" s="4">
        <f t="shared" si="32"/>
        <v>530</v>
      </c>
      <c r="CK27" s="37">
        <f t="shared" si="33"/>
        <v>4000</v>
      </c>
      <c r="CL27" s="4">
        <v>4000</v>
      </c>
      <c r="CM27" s="47">
        <f t="shared" si="49"/>
        <v>4</v>
      </c>
      <c r="CN27" s="173">
        <f t="shared" si="34"/>
        <v>4000</v>
      </c>
      <c r="CO27" s="46">
        <f t="shared" si="35"/>
        <v>4004</v>
      </c>
      <c r="CP27" s="47">
        <f t="shared" si="36"/>
        <v>4000</v>
      </c>
      <c r="CQ27" s="174">
        <f t="shared" si="37"/>
        <v>4</v>
      </c>
      <c r="CR27" s="91">
        <v>3193</v>
      </c>
      <c r="CS27" s="183">
        <f t="shared" si="12"/>
        <v>545</v>
      </c>
      <c r="CT27" s="184">
        <f t="shared" si="13"/>
        <v>400</v>
      </c>
      <c r="CU27" s="183">
        <f t="shared" si="38"/>
        <v>248</v>
      </c>
      <c r="CV27" s="185">
        <f t="shared" si="39"/>
        <v>100</v>
      </c>
      <c r="CW27" s="185">
        <f t="shared" si="14"/>
        <v>0</v>
      </c>
      <c r="CX27" s="185">
        <f t="shared" si="50"/>
        <v>530</v>
      </c>
      <c r="CY27" s="185">
        <f t="shared" si="16"/>
        <v>206</v>
      </c>
      <c r="CZ27" s="184">
        <f t="shared" si="51"/>
        <v>1164</v>
      </c>
      <c r="DA27" s="315">
        <f t="shared" si="41"/>
        <v>1900</v>
      </c>
      <c r="DB27" s="70">
        <v>6959</v>
      </c>
      <c r="DC27" s="175">
        <f t="shared" si="17"/>
        <v>1370</v>
      </c>
      <c r="DD27" s="177">
        <f t="shared" si="18"/>
        <v>348</v>
      </c>
      <c r="DE27" s="32">
        <f t="shared" si="42"/>
        <v>46106</v>
      </c>
      <c r="DF27" s="39">
        <f t="shared" si="43"/>
        <v>38</v>
      </c>
      <c r="DG27" s="39">
        <f t="shared" si="44"/>
        <v>1140</v>
      </c>
      <c r="DH27" s="39">
        <f t="shared" si="45"/>
        <v>73</v>
      </c>
      <c r="DI27" s="39">
        <f t="shared" si="46"/>
        <v>2190</v>
      </c>
      <c r="DJ27" s="39">
        <f t="shared" si="47"/>
        <v>111</v>
      </c>
      <c r="DK27" s="39">
        <f t="shared" si="48"/>
        <v>3330</v>
      </c>
    </row>
    <row r="28" spans="1:115" ht="18">
      <c r="A28" s="32">
        <f t="shared" si="19"/>
        <v>46107</v>
      </c>
      <c r="B28" s="34"/>
      <c r="C28" s="4"/>
      <c r="D28" s="4"/>
      <c r="E28" s="4"/>
      <c r="F28" s="4">
        <f t="shared" si="20"/>
        <v>0</v>
      </c>
      <c r="G28" s="4">
        <f t="shared" si="0"/>
        <v>0</v>
      </c>
      <c r="H28" s="4">
        <f t="shared" si="1"/>
        <v>0</v>
      </c>
      <c r="I28" s="4">
        <f t="shared" si="2"/>
        <v>0</v>
      </c>
      <c r="J28" s="4">
        <f t="shared" si="3"/>
        <v>0</v>
      </c>
      <c r="K28" s="30">
        <f t="shared" si="4"/>
        <v>0</v>
      </c>
      <c r="L28" s="58">
        <f t="shared" si="5"/>
        <v>0</v>
      </c>
      <c r="M28" s="206"/>
      <c r="N28" s="178"/>
      <c r="O28" s="178"/>
      <c r="P28" s="178"/>
      <c r="Q28" s="178"/>
      <c r="R28" s="178"/>
      <c r="S28" s="292"/>
      <c r="T28" s="292"/>
      <c r="U28" s="292"/>
      <c r="V28" s="292"/>
      <c r="W28" s="178">
        <f t="shared" si="54"/>
        <v>0</v>
      </c>
      <c r="X28" s="200"/>
      <c r="Y28" s="200"/>
      <c r="Z28" s="200"/>
      <c r="AA28" s="200"/>
      <c r="AB28" s="200"/>
      <c r="AC28" s="200"/>
      <c r="AD28" s="178"/>
      <c r="AE28" s="178"/>
      <c r="AF28" s="178"/>
      <c r="AG28" s="178"/>
      <c r="AH28" s="178">
        <f t="shared" si="22"/>
        <v>0</v>
      </c>
      <c r="AI28" s="178"/>
      <c r="AJ28" s="200"/>
      <c r="AK28" s="200"/>
      <c r="AL28" s="200"/>
      <c r="AM28" s="200"/>
      <c r="AN28" s="275"/>
      <c r="AO28" s="275"/>
      <c r="AP28" s="275">
        <f t="shared" si="23"/>
        <v>0</v>
      </c>
      <c r="AQ28" s="275"/>
      <c r="AR28" s="62"/>
      <c r="AS28" s="62"/>
      <c r="AT28" s="62"/>
      <c r="AU28" s="62"/>
      <c r="AV28" s="62"/>
      <c r="AW28" s="62"/>
      <c r="AX28" s="62"/>
      <c r="AY28" s="62"/>
      <c r="AZ28" s="269"/>
      <c r="BA28" s="94"/>
      <c r="BB28" s="95">
        <f t="shared" si="24"/>
        <v>0</v>
      </c>
      <c r="BC28" s="124"/>
      <c r="BD28" s="124"/>
      <c r="BE28" s="124"/>
      <c r="BF28" s="124"/>
      <c r="BG28" s="124"/>
      <c r="BH28" s="124"/>
      <c r="BI28" s="124"/>
      <c r="BJ28" s="124"/>
      <c r="BK28" s="124"/>
      <c r="BL28" s="124">
        <f t="shared" si="25"/>
        <v>0</v>
      </c>
      <c r="BM28" s="181">
        <f t="shared" si="6"/>
        <v>0</v>
      </c>
      <c r="BN28" s="181">
        <f t="shared" si="7"/>
        <v>0</v>
      </c>
      <c r="BO28" s="181">
        <f t="shared" si="8"/>
        <v>0</v>
      </c>
      <c r="BP28" s="181">
        <f t="shared" si="9"/>
        <v>0</v>
      </c>
      <c r="BQ28" s="181">
        <f t="shared" si="26"/>
        <v>0</v>
      </c>
      <c r="BR28" s="181">
        <f t="shared" si="27"/>
        <v>0</v>
      </c>
      <c r="BS28" s="181">
        <f t="shared" si="28"/>
        <v>0</v>
      </c>
      <c r="BT28" s="181">
        <f t="shared" si="29"/>
        <v>0</v>
      </c>
      <c r="BU28" s="86"/>
      <c r="BV28" s="86"/>
      <c r="BW28" s="86"/>
      <c r="BX28" s="86"/>
      <c r="BY28" s="86"/>
      <c r="BZ28" s="86"/>
      <c r="CA28" s="86">
        <f t="shared" si="30"/>
        <v>0</v>
      </c>
      <c r="CB28" s="4"/>
      <c r="CC28" s="4"/>
      <c r="CD28" s="55">
        <f t="shared" si="31"/>
        <v>0</v>
      </c>
      <c r="CE28" s="4"/>
      <c r="CF28" s="4">
        <f t="shared" si="55"/>
        <v>0</v>
      </c>
      <c r="CG28" s="22">
        <f t="shared" si="11"/>
        <v>0</v>
      </c>
      <c r="CH28" s="4"/>
      <c r="CI28" s="4"/>
      <c r="CJ28" s="4">
        <f t="shared" si="32"/>
        <v>0</v>
      </c>
      <c r="CK28" s="37">
        <f t="shared" si="33"/>
        <v>0</v>
      </c>
      <c r="CL28" s="4">
        <v>0</v>
      </c>
      <c r="CM28" s="47">
        <f t="shared" si="49"/>
        <v>4</v>
      </c>
      <c r="CN28" s="173">
        <f t="shared" si="34"/>
        <v>0</v>
      </c>
      <c r="CO28" s="46">
        <f t="shared" si="35"/>
        <v>4</v>
      </c>
      <c r="CP28" s="47">
        <f t="shared" si="36"/>
        <v>0</v>
      </c>
      <c r="CQ28" s="174">
        <f t="shared" si="37"/>
        <v>4</v>
      </c>
      <c r="CR28" s="91">
        <v>0</v>
      </c>
      <c r="CS28" s="183">
        <f t="shared" si="12"/>
        <v>0</v>
      </c>
      <c r="CT28" s="184">
        <f t="shared" si="13"/>
        <v>0</v>
      </c>
      <c r="CU28" s="183">
        <f t="shared" si="38"/>
        <v>0</v>
      </c>
      <c r="CV28" s="185">
        <f t="shared" si="39"/>
        <v>0</v>
      </c>
      <c r="CW28" s="185">
        <f t="shared" si="14"/>
        <v>0</v>
      </c>
      <c r="CX28" s="185">
        <f t="shared" si="50"/>
        <v>0</v>
      </c>
      <c r="CY28" s="185">
        <f t="shared" si="16"/>
        <v>0</v>
      </c>
      <c r="CZ28" s="184">
        <f t="shared" si="51"/>
        <v>0</v>
      </c>
      <c r="DA28" s="315">
        <f t="shared" si="41"/>
        <v>0</v>
      </c>
      <c r="DB28" s="270"/>
      <c r="DC28" s="175">
        <f t="shared" si="17"/>
        <v>0</v>
      </c>
      <c r="DD28" s="177">
        <f t="shared" si="18"/>
        <v>0</v>
      </c>
      <c r="DE28" s="32">
        <f t="shared" si="42"/>
        <v>46107</v>
      </c>
      <c r="DF28" s="39">
        <f t="shared" si="43"/>
        <v>0</v>
      </c>
      <c r="DG28" s="39">
        <f t="shared" si="44"/>
        <v>0</v>
      </c>
      <c r="DH28" s="39">
        <f t="shared" si="45"/>
        <v>0</v>
      </c>
      <c r="DI28" s="39">
        <f t="shared" si="46"/>
        <v>0</v>
      </c>
      <c r="DJ28" s="39">
        <f t="shared" si="47"/>
        <v>0</v>
      </c>
      <c r="DK28" s="39">
        <f t="shared" si="48"/>
        <v>0</v>
      </c>
    </row>
    <row r="29" spans="1:115" ht="18">
      <c r="A29" s="32">
        <f t="shared" si="19"/>
        <v>46108</v>
      </c>
      <c r="B29" s="34">
        <v>5</v>
      </c>
      <c r="C29" s="4">
        <v>32</v>
      </c>
      <c r="D29" s="4">
        <v>146</v>
      </c>
      <c r="E29" s="4"/>
      <c r="F29" s="4">
        <f t="shared" si="20"/>
        <v>183</v>
      </c>
      <c r="G29" s="4">
        <f t="shared" si="0"/>
        <v>150</v>
      </c>
      <c r="H29" s="4">
        <f t="shared" si="1"/>
        <v>960</v>
      </c>
      <c r="I29" s="4">
        <f t="shared" si="2"/>
        <v>4380</v>
      </c>
      <c r="J29" s="4">
        <f t="shared" si="3"/>
        <v>0</v>
      </c>
      <c r="K29" s="30">
        <f t="shared" si="4"/>
        <v>5490</v>
      </c>
      <c r="L29" s="58">
        <f t="shared" si="5"/>
        <v>2034</v>
      </c>
      <c r="M29" s="206">
        <v>3</v>
      </c>
      <c r="N29" s="178">
        <v>26.5</v>
      </c>
      <c r="O29" s="178">
        <v>25</v>
      </c>
      <c r="P29" s="178">
        <v>137.55000000000001</v>
      </c>
      <c r="Q29" s="178">
        <v>3</v>
      </c>
      <c r="R29" s="178">
        <v>25.15</v>
      </c>
      <c r="S29" s="292">
        <v>9.6999999999999993</v>
      </c>
      <c r="T29" s="292">
        <v>84</v>
      </c>
      <c r="U29" s="292">
        <v>33</v>
      </c>
      <c r="V29" s="292">
        <v>550</v>
      </c>
      <c r="W29" s="178">
        <f t="shared" si="54"/>
        <v>109.4</v>
      </c>
      <c r="X29" s="200">
        <v>2.6</v>
      </c>
      <c r="Y29" s="200">
        <v>5</v>
      </c>
      <c r="Z29" s="200">
        <v>6</v>
      </c>
      <c r="AA29" s="200">
        <v>54</v>
      </c>
      <c r="AB29" s="200">
        <v>1734.03</v>
      </c>
      <c r="AC29" s="200">
        <v>300</v>
      </c>
      <c r="AD29" s="178">
        <v>2</v>
      </c>
      <c r="AE29" s="178">
        <v>0</v>
      </c>
      <c r="AF29" s="178">
        <v>3</v>
      </c>
      <c r="AG29" s="178">
        <v>12</v>
      </c>
      <c r="AH29" s="178">
        <f t="shared" si="22"/>
        <v>348</v>
      </c>
      <c r="AI29" s="178">
        <v>72</v>
      </c>
      <c r="AJ29" s="200">
        <v>2</v>
      </c>
      <c r="AK29" s="200">
        <v>7.4</v>
      </c>
      <c r="AL29" s="200">
        <v>17</v>
      </c>
      <c r="AM29" s="200">
        <v>115.4</v>
      </c>
      <c r="AN29" s="275">
        <v>0</v>
      </c>
      <c r="AO29" s="275">
        <v>115.4</v>
      </c>
      <c r="AP29" s="275">
        <f t="shared" si="23"/>
        <v>0</v>
      </c>
      <c r="AQ29" s="275">
        <v>600</v>
      </c>
      <c r="AR29" s="62">
        <v>3</v>
      </c>
      <c r="AS29" s="62">
        <v>386</v>
      </c>
      <c r="AT29" s="62">
        <v>0</v>
      </c>
      <c r="AU29" s="62">
        <v>0</v>
      </c>
      <c r="AV29" s="62">
        <v>22.9</v>
      </c>
      <c r="AW29" s="62">
        <v>10.17</v>
      </c>
      <c r="AX29" s="62">
        <v>10</v>
      </c>
      <c r="AY29" s="62">
        <v>11</v>
      </c>
      <c r="AZ29" s="269">
        <v>1450</v>
      </c>
      <c r="BA29" s="94">
        <v>700</v>
      </c>
      <c r="BB29" s="95">
        <f t="shared" si="24"/>
        <v>750</v>
      </c>
      <c r="BC29" s="124">
        <v>0</v>
      </c>
      <c r="BD29" s="124">
        <v>0</v>
      </c>
      <c r="BE29" s="124">
        <v>0</v>
      </c>
      <c r="BF29" s="124">
        <v>0</v>
      </c>
      <c r="BG29" s="124">
        <v>0</v>
      </c>
      <c r="BH29" s="124">
        <v>0</v>
      </c>
      <c r="BI29" s="124">
        <v>0</v>
      </c>
      <c r="BJ29" s="124">
        <v>0</v>
      </c>
      <c r="BK29" s="124">
        <v>0</v>
      </c>
      <c r="BL29" s="124">
        <f t="shared" si="25"/>
        <v>0</v>
      </c>
      <c r="BM29" s="181">
        <f t="shared" si="6"/>
        <v>10.17</v>
      </c>
      <c r="BN29" s="181">
        <f t="shared" si="7"/>
        <v>10</v>
      </c>
      <c r="BO29" s="181">
        <f t="shared" si="8"/>
        <v>11</v>
      </c>
      <c r="BP29" s="181">
        <f t="shared" si="9"/>
        <v>1450</v>
      </c>
      <c r="BQ29" s="181">
        <f t="shared" si="26"/>
        <v>22.9</v>
      </c>
      <c r="BR29" s="181">
        <f t="shared" si="27"/>
        <v>386</v>
      </c>
      <c r="BS29" s="181">
        <f t="shared" si="28"/>
        <v>0</v>
      </c>
      <c r="BT29" s="181">
        <f t="shared" si="29"/>
        <v>386</v>
      </c>
      <c r="BU29" s="86">
        <v>4.5999999999999996</v>
      </c>
      <c r="BV29" s="86">
        <v>400</v>
      </c>
      <c r="BW29" s="86">
        <v>2</v>
      </c>
      <c r="BX29" s="86">
        <v>13.9</v>
      </c>
      <c r="BY29" s="86">
        <v>220</v>
      </c>
      <c r="BZ29" s="86">
        <v>50</v>
      </c>
      <c r="CA29" s="86">
        <f t="shared" si="30"/>
        <v>270</v>
      </c>
      <c r="CB29" s="4">
        <f>1311-308</f>
        <v>1003</v>
      </c>
      <c r="CC29" s="4">
        <f>340-64</f>
        <v>276</v>
      </c>
      <c r="CD29" s="55">
        <f t="shared" si="31"/>
        <v>600</v>
      </c>
      <c r="CE29" s="4">
        <v>105</v>
      </c>
      <c r="CF29" s="4">
        <f t="shared" si="55"/>
        <v>300</v>
      </c>
      <c r="CG29" s="22">
        <f t="shared" si="11"/>
        <v>72</v>
      </c>
      <c r="CH29" s="4">
        <v>100</v>
      </c>
      <c r="CI29" s="4">
        <v>300</v>
      </c>
      <c r="CJ29" s="4">
        <f t="shared" si="32"/>
        <v>550</v>
      </c>
      <c r="CK29" s="37">
        <f t="shared" si="33"/>
        <v>3306</v>
      </c>
      <c r="CL29" s="4">
        <v>4000</v>
      </c>
      <c r="CM29" s="47">
        <f t="shared" si="49"/>
        <v>4</v>
      </c>
      <c r="CN29" s="173">
        <f t="shared" si="34"/>
        <v>4000</v>
      </c>
      <c r="CO29" s="46">
        <f t="shared" si="35"/>
        <v>4004</v>
      </c>
      <c r="CP29" s="47">
        <f t="shared" si="36"/>
        <v>3306</v>
      </c>
      <c r="CQ29" s="174">
        <f t="shared" si="37"/>
        <v>698</v>
      </c>
      <c r="CR29" s="91">
        <v>3851</v>
      </c>
      <c r="CS29" s="183">
        <f t="shared" si="12"/>
        <v>300</v>
      </c>
      <c r="CT29" s="184">
        <f t="shared" si="13"/>
        <v>72</v>
      </c>
      <c r="CU29" s="183">
        <f t="shared" si="38"/>
        <v>386</v>
      </c>
      <c r="CV29" s="185">
        <f t="shared" si="39"/>
        <v>0</v>
      </c>
      <c r="CW29" s="185">
        <f t="shared" si="14"/>
        <v>270</v>
      </c>
      <c r="CX29" s="185">
        <f t="shared" si="50"/>
        <v>550</v>
      </c>
      <c r="CY29" s="185">
        <f t="shared" si="16"/>
        <v>600</v>
      </c>
      <c r="CZ29" s="184">
        <f t="shared" si="51"/>
        <v>1673</v>
      </c>
      <c r="DA29" s="315">
        <f t="shared" si="41"/>
        <v>2823</v>
      </c>
      <c r="DC29" s="175">
        <f t="shared" si="17"/>
        <v>2273</v>
      </c>
      <c r="DD29" s="177">
        <f t="shared" si="18"/>
        <v>656</v>
      </c>
      <c r="DE29" s="32">
        <f t="shared" si="42"/>
        <v>46108</v>
      </c>
      <c r="DF29" s="39">
        <f t="shared" si="43"/>
        <v>146</v>
      </c>
      <c r="DG29" s="39">
        <f t="shared" si="44"/>
        <v>4380</v>
      </c>
      <c r="DH29" s="39">
        <f t="shared" si="45"/>
        <v>37</v>
      </c>
      <c r="DI29" s="39">
        <f t="shared" si="46"/>
        <v>1110</v>
      </c>
      <c r="DJ29" s="39">
        <f t="shared" si="47"/>
        <v>183</v>
      </c>
      <c r="DK29" s="39">
        <f t="shared" si="48"/>
        <v>5490</v>
      </c>
    </row>
    <row r="30" spans="1:115" ht="18">
      <c r="A30" s="32">
        <f t="shared" si="19"/>
        <v>46109</v>
      </c>
      <c r="B30" s="34">
        <v>37</v>
      </c>
      <c r="C30" s="4">
        <v>31</v>
      </c>
      <c r="D30" s="4">
        <v>155</v>
      </c>
      <c r="E30" s="4"/>
      <c r="F30" s="4">
        <f t="shared" si="20"/>
        <v>223</v>
      </c>
      <c r="G30" s="4">
        <f t="shared" si="0"/>
        <v>1110</v>
      </c>
      <c r="H30" s="4">
        <f t="shared" si="1"/>
        <v>930</v>
      </c>
      <c r="I30" s="4">
        <f t="shared" si="2"/>
        <v>4650</v>
      </c>
      <c r="J30" s="4">
        <f t="shared" si="3"/>
        <v>0</v>
      </c>
      <c r="K30" s="30">
        <f t="shared" si="4"/>
        <v>6690</v>
      </c>
      <c r="L30" s="58">
        <f t="shared" si="5"/>
        <v>2478</v>
      </c>
      <c r="M30" s="206">
        <v>3</v>
      </c>
      <c r="N30" s="178">
        <v>26</v>
      </c>
      <c r="O30" s="178">
        <v>25</v>
      </c>
      <c r="P30" s="178">
        <v>178.05</v>
      </c>
      <c r="Q30" s="178">
        <v>7.7</v>
      </c>
      <c r="R30" s="178">
        <v>41.85</v>
      </c>
      <c r="S30" s="292">
        <v>8.8000000000000007</v>
      </c>
      <c r="T30" s="292">
        <v>79</v>
      </c>
      <c r="U30" s="292">
        <v>28.8</v>
      </c>
      <c r="V30" s="292">
        <v>650</v>
      </c>
      <c r="W30" s="178">
        <f t="shared" si="54"/>
        <v>128.50000000000003</v>
      </c>
      <c r="X30" s="200">
        <v>3.5</v>
      </c>
      <c r="Y30" s="200">
        <v>9.3000000000000007</v>
      </c>
      <c r="Z30" s="200">
        <v>8</v>
      </c>
      <c r="AA30" s="200">
        <v>118</v>
      </c>
      <c r="AB30" s="200">
        <v>3703.7099999999996</v>
      </c>
      <c r="AC30" s="200">
        <v>500</v>
      </c>
      <c r="AD30" s="178">
        <v>3.1</v>
      </c>
      <c r="AE30" s="178">
        <v>1</v>
      </c>
      <c r="AF30" s="178">
        <v>5</v>
      </c>
      <c r="AG30" s="178">
        <v>27</v>
      </c>
      <c r="AH30" s="178">
        <f t="shared" si="22"/>
        <v>783</v>
      </c>
      <c r="AI30" s="178">
        <v>135</v>
      </c>
      <c r="AJ30" s="200">
        <v>2</v>
      </c>
      <c r="AK30" s="200">
        <v>11.3</v>
      </c>
      <c r="AL30" s="200">
        <v>40</v>
      </c>
      <c r="AM30" s="200">
        <v>219.1</v>
      </c>
      <c r="AN30" s="275">
        <v>0</v>
      </c>
      <c r="AO30" s="275">
        <v>219.1</v>
      </c>
      <c r="AP30" s="275">
        <f t="shared" si="23"/>
        <v>0</v>
      </c>
      <c r="AQ30" s="275">
        <v>262</v>
      </c>
      <c r="AR30" s="62">
        <v>2</v>
      </c>
      <c r="AS30" s="62">
        <v>182</v>
      </c>
      <c r="AT30" s="62">
        <v>0</v>
      </c>
      <c r="AU30" s="62">
        <v>0</v>
      </c>
      <c r="AV30" s="62">
        <v>12.5</v>
      </c>
      <c r="AW30" s="62">
        <v>5.52</v>
      </c>
      <c r="AX30" s="62">
        <v>6</v>
      </c>
      <c r="AY30" s="62">
        <v>7</v>
      </c>
      <c r="AZ30" s="269">
        <v>1000</v>
      </c>
      <c r="BA30" s="94">
        <v>500</v>
      </c>
      <c r="BB30" s="95">
        <f t="shared" si="24"/>
        <v>500</v>
      </c>
      <c r="BC30" s="124">
        <v>0</v>
      </c>
      <c r="BD30" s="124">
        <v>0</v>
      </c>
      <c r="BE30" s="124">
        <v>0</v>
      </c>
      <c r="BF30" s="124">
        <v>0</v>
      </c>
      <c r="BG30" s="124">
        <v>0</v>
      </c>
      <c r="BH30" s="124">
        <v>0</v>
      </c>
      <c r="BI30" s="124">
        <v>0</v>
      </c>
      <c r="BJ30" s="124">
        <v>0</v>
      </c>
      <c r="BK30" s="124">
        <v>0</v>
      </c>
      <c r="BL30" s="124">
        <v>0</v>
      </c>
      <c r="BM30" s="181">
        <f t="shared" si="6"/>
        <v>5.52</v>
      </c>
      <c r="BN30" s="181">
        <f t="shared" si="7"/>
        <v>6</v>
      </c>
      <c r="BO30" s="181">
        <f t="shared" si="8"/>
        <v>7</v>
      </c>
      <c r="BP30" s="181">
        <f t="shared" si="9"/>
        <v>1000</v>
      </c>
      <c r="BQ30" s="181">
        <f t="shared" si="26"/>
        <v>12.5</v>
      </c>
      <c r="BR30" s="181">
        <f t="shared" si="27"/>
        <v>182</v>
      </c>
      <c r="BS30" s="181">
        <f t="shared" si="28"/>
        <v>0</v>
      </c>
      <c r="BT30" s="181">
        <f t="shared" si="29"/>
        <v>182</v>
      </c>
      <c r="BU30" s="86">
        <v>6.5</v>
      </c>
      <c r="BV30" s="86">
        <v>650</v>
      </c>
      <c r="BW30" s="86">
        <v>2</v>
      </c>
      <c r="BX30" s="86">
        <v>14.9</v>
      </c>
      <c r="BY30" s="86">
        <v>260</v>
      </c>
      <c r="BZ30" s="86">
        <v>65</v>
      </c>
      <c r="CA30" s="86">
        <f t="shared" si="30"/>
        <v>325</v>
      </c>
      <c r="CB30" s="4">
        <f>1880-464</f>
        <v>1416</v>
      </c>
      <c r="CC30" s="4">
        <f>322-97</f>
        <v>225</v>
      </c>
      <c r="CD30" s="55">
        <f t="shared" si="31"/>
        <v>262</v>
      </c>
      <c r="CE30" s="4">
        <v>86</v>
      </c>
      <c r="CF30" s="4">
        <f t="shared" si="55"/>
        <v>500</v>
      </c>
      <c r="CG30" s="22">
        <f t="shared" si="11"/>
        <v>135</v>
      </c>
      <c r="CH30" s="4">
        <v>0</v>
      </c>
      <c r="CI30" s="4">
        <f>414-74</f>
        <v>340</v>
      </c>
      <c r="CJ30" s="4">
        <f t="shared" si="32"/>
        <v>650</v>
      </c>
      <c r="CK30" s="37">
        <f t="shared" si="33"/>
        <v>3614</v>
      </c>
      <c r="CL30" s="4">
        <v>3000</v>
      </c>
      <c r="CM30" s="47">
        <f t="shared" si="49"/>
        <v>698</v>
      </c>
      <c r="CN30" s="173">
        <f t="shared" si="34"/>
        <v>3000</v>
      </c>
      <c r="CO30" s="46">
        <f t="shared" si="35"/>
        <v>3698</v>
      </c>
      <c r="CP30" s="47">
        <f t="shared" si="36"/>
        <v>3614</v>
      </c>
      <c r="CQ30" s="174">
        <f t="shared" si="37"/>
        <v>84</v>
      </c>
      <c r="CR30" s="91">
        <v>3729</v>
      </c>
      <c r="CS30" s="183">
        <f t="shared" si="12"/>
        <v>500</v>
      </c>
      <c r="CT30" s="184">
        <f t="shared" si="13"/>
        <v>135</v>
      </c>
      <c r="CU30" s="183">
        <f t="shared" si="38"/>
        <v>182</v>
      </c>
      <c r="CV30" s="185">
        <f t="shared" si="39"/>
        <v>0</v>
      </c>
      <c r="CW30" s="185">
        <f t="shared" si="14"/>
        <v>325</v>
      </c>
      <c r="CX30" s="185">
        <f t="shared" si="50"/>
        <v>650</v>
      </c>
      <c r="CY30" s="185">
        <f t="shared" si="16"/>
        <v>262</v>
      </c>
      <c r="CZ30" s="184">
        <f t="shared" si="51"/>
        <v>1675</v>
      </c>
      <c r="DA30" s="315">
        <f t="shared" si="41"/>
        <v>2587</v>
      </c>
      <c r="DC30" s="175">
        <f t="shared" si="17"/>
        <v>1937</v>
      </c>
      <c r="DD30" s="177">
        <f t="shared" si="18"/>
        <v>507</v>
      </c>
      <c r="DE30" s="32">
        <f t="shared" si="42"/>
        <v>46109</v>
      </c>
      <c r="DF30" s="39">
        <f t="shared" si="43"/>
        <v>155</v>
      </c>
      <c r="DG30" s="39">
        <f t="shared" si="44"/>
        <v>4650</v>
      </c>
      <c r="DH30" s="39">
        <f t="shared" si="45"/>
        <v>68</v>
      </c>
      <c r="DI30" s="39">
        <f t="shared" si="46"/>
        <v>2040</v>
      </c>
      <c r="DJ30" s="39">
        <f t="shared" si="47"/>
        <v>223</v>
      </c>
      <c r="DK30" s="39">
        <f t="shared" si="48"/>
        <v>6690</v>
      </c>
    </row>
    <row r="31" spans="1:115" ht="18">
      <c r="A31" s="32">
        <f t="shared" si="19"/>
        <v>46110</v>
      </c>
      <c r="B31" s="34">
        <v>61</v>
      </c>
      <c r="C31" s="4">
        <v>43</v>
      </c>
      <c r="D31" s="4">
        <v>93</v>
      </c>
      <c r="E31" s="4"/>
      <c r="F31" s="4">
        <f t="shared" si="20"/>
        <v>197</v>
      </c>
      <c r="G31" s="4">
        <f t="shared" si="0"/>
        <v>1830</v>
      </c>
      <c r="H31" s="4">
        <f t="shared" si="1"/>
        <v>1290</v>
      </c>
      <c r="I31" s="4">
        <f t="shared" si="2"/>
        <v>2790</v>
      </c>
      <c r="J31" s="4">
        <f t="shared" si="3"/>
        <v>0</v>
      </c>
      <c r="K31" s="30">
        <f t="shared" si="4"/>
        <v>5910</v>
      </c>
      <c r="L31" s="58">
        <f t="shared" si="5"/>
        <v>2189</v>
      </c>
      <c r="M31" s="206">
        <v>3</v>
      </c>
      <c r="N31" s="178">
        <v>26.8</v>
      </c>
      <c r="O31" s="178">
        <v>25</v>
      </c>
      <c r="P31" s="178">
        <v>166.65</v>
      </c>
      <c r="Q31" s="178">
        <v>11.4</v>
      </c>
      <c r="R31" s="178">
        <v>33.4</v>
      </c>
      <c r="S31" s="292">
        <v>9.5</v>
      </c>
      <c r="T31" s="292">
        <v>78</v>
      </c>
      <c r="U31" s="292">
        <v>34.6</v>
      </c>
      <c r="V31" s="292">
        <v>400</v>
      </c>
      <c r="W31" s="178">
        <f t="shared" si="54"/>
        <v>121.85</v>
      </c>
      <c r="X31" s="200">
        <v>4.5</v>
      </c>
      <c r="Y31" s="200">
        <v>6.7</v>
      </c>
      <c r="Z31" s="200">
        <v>8</v>
      </c>
      <c r="AA31" s="200">
        <v>82</v>
      </c>
      <c r="AB31" s="200">
        <v>2808.12</v>
      </c>
      <c r="AC31" s="200">
        <v>400</v>
      </c>
      <c r="AD31" s="178">
        <v>2.8</v>
      </c>
      <c r="AE31" s="178">
        <v>2</v>
      </c>
      <c r="AF31" s="178">
        <v>4</v>
      </c>
      <c r="AG31" s="178">
        <v>32</v>
      </c>
      <c r="AH31" s="178">
        <f t="shared" si="22"/>
        <v>928</v>
      </c>
      <c r="AI31" s="178">
        <v>170</v>
      </c>
      <c r="AJ31" s="200">
        <v>2</v>
      </c>
      <c r="AK31" s="200">
        <v>10.5</v>
      </c>
      <c r="AL31" s="200">
        <v>22</v>
      </c>
      <c r="AM31" s="200">
        <v>149.5</v>
      </c>
      <c r="AN31" s="275">
        <v>0</v>
      </c>
      <c r="AO31" s="275">
        <v>149.5</v>
      </c>
      <c r="AP31" s="275">
        <f t="shared" si="23"/>
        <v>0</v>
      </c>
      <c r="AQ31" s="275">
        <v>450</v>
      </c>
      <c r="AR31" s="62">
        <v>3</v>
      </c>
      <c r="AS31" s="62">
        <v>281</v>
      </c>
      <c r="AT31" s="62">
        <v>0</v>
      </c>
      <c r="AU31" s="62">
        <v>0</v>
      </c>
      <c r="AV31" s="62">
        <v>18.899999999999999</v>
      </c>
      <c r="AW31" s="62">
        <v>10.6</v>
      </c>
      <c r="AX31" s="62">
        <v>11</v>
      </c>
      <c r="AY31" s="62">
        <v>11</v>
      </c>
      <c r="AZ31" s="269">
        <v>1640</v>
      </c>
      <c r="BA31" s="94">
        <v>820</v>
      </c>
      <c r="BB31" s="95">
        <f t="shared" si="24"/>
        <v>820</v>
      </c>
      <c r="BC31" s="124">
        <v>0</v>
      </c>
      <c r="BD31" s="124">
        <v>0</v>
      </c>
      <c r="BE31" s="124">
        <v>0</v>
      </c>
      <c r="BF31" s="124">
        <v>0</v>
      </c>
      <c r="BG31" s="124">
        <v>0</v>
      </c>
      <c r="BH31" s="124">
        <v>0</v>
      </c>
      <c r="BI31" s="124">
        <v>0</v>
      </c>
      <c r="BJ31" s="124">
        <v>0</v>
      </c>
      <c r="BK31" s="124">
        <v>0</v>
      </c>
      <c r="BL31" s="124">
        <f t="shared" si="25"/>
        <v>0</v>
      </c>
      <c r="BM31" s="181">
        <f t="shared" si="6"/>
        <v>10.6</v>
      </c>
      <c r="BN31" s="181">
        <f t="shared" si="7"/>
        <v>11</v>
      </c>
      <c r="BO31" s="181">
        <f t="shared" si="8"/>
        <v>11</v>
      </c>
      <c r="BP31" s="181">
        <f t="shared" si="9"/>
        <v>1640</v>
      </c>
      <c r="BQ31" s="181">
        <f t="shared" si="26"/>
        <v>18.899999999999999</v>
      </c>
      <c r="BR31" s="181">
        <f t="shared" si="27"/>
        <v>281</v>
      </c>
      <c r="BS31" s="181">
        <f t="shared" si="28"/>
        <v>0</v>
      </c>
      <c r="BT31" s="181">
        <f t="shared" si="29"/>
        <v>281</v>
      </c>
      <c r="BU31" s="86">
        <v>7.7</v>
      </c>
      <c r="BV31" s="86">
        <v>850</v>
      </c>
      <c r="BW31" s="86">
        <v>2</v>
      </c>
      <c r="BX31" s="86">
        <v>11.4</v>
      </c>
      <c r="BY31" s="86">
        <v>136</v>
      </c>
      <c r="BZ31" s="86">
        <v>80</v>
      </c>
      <c r="CA31" s="86">
        <f t="shared" si="30"/>
        <v>216</v>
      </c>
      <c r="CB31" s="4">
        <f>2220-400</f>
        <v>1820</v>
      </c>
      <c r="CC31" s="4">
        <f>415-90</f>
        <v>325</v>
      </c>
      <c r="CD31" s="55">
        <f t="shared" si="31"/>
        <v>450</v>
      </c>
      <c r="CE31" s="4">
        <v>165</v>
      </c>
      <c r="CF31" s="4">
        <f t="shared" si="55"/>
        <v>400</v>
      </c>
      <c r="CG31" s="22">
        <f t="shared" si="11"/>
        <v>170</v>
      </c>
      <c r="CH31" s="4">
        <v>0</v>
      </c>
      <c r="CI31" s="4">
        <f>350-80</f>
        <v>270</v>
      </c>
      <c r="CJ31" s="4">
        <f t="shared" si="32"/>
        <v>400</v>
      </c>
      <c r="CK31" s="37">
        <f t="shared" si="33"/>
        <v>4000</v>
      </c>
      <c r="CL31" s="4">
        <v>4000</v>
      </c>
      <c r="CM31" s="47">
        <f t="shared" si="49"/>
        <v>84</v>
      </c>
      <c r="CN31" s="173">
        <f t="shared" si="34"/>
        <v>4000</v>
      </c>
      <c r="CO31" s="46">
        <f t="shared" si="35"/>
        <v>4084</v>
      </c>
      <c r="CP31" s="47">
        <f t="shared" si="36"/>
        <v>4000</v>
      </c>
      <c r="CQ31" s="174">
        <f t="shared" si="37"/>
        <v>84</v>
      </c>
      <c r="CR31" s="91">
        <v>3649</v>
      </c>
      <c r="CS31" s="183">
        <f t="shared" si="12"/>
        <v>400</v>
      </c>
      <c r="CT31" s="184">
        <f t="shared" si="13"/>
        <v>170</v>
      </c>
      <c r="CU31" s="183">
        <f t="shared" si="38"/>
        <v>281</v>
      </c>
      <c r="CV31" s="185">
        <f t="shared" si="39"/>
        <v>0</v>
      </c>
      <c r="CW31" s="185">
        <f t="shared" si="14"/>
        <v>216</v>
      </c>
      <c r="CX31" s="185">
        <f t="shared" si="50"/>
        <v>400</v>
      </c>
      <c r="CY31" s="185">
        <f t="shared" si="16"/>
        <v>450</v>
      </c>
      <c r="CZ31" s="184">
        <f t="shared" si="51"/>
        <v>1732</v>
      </c>
      <c r="DA31" s="315">
        <f t="shared" si="41"/>
        <v>2582</v>
      </c>
      <c r="DC31" s="175">
        <f t="shared" si="17"/>
        <v>2182</v>
      </c>
      <c r="DD31" s="177">
        <f t="shared" si="18"/>
        <v>497</v>
      </c>
      <c r="DE31" s="32">
        <f t="shared" si="42"/>
        <v>46110</v>
      </c>
      <c r="DF31" s="39">
        <f t="shared" si="43"/>
        <v>93</v>
      </c>
      <c r="DG31" s="39">
        <f t="shared" si="44"/>
        <v>2790</v>
      </c>
      <c r="DH31" s="39">
        <f t="shared" si="45"/>
        <v>104</v>
      </c>
      <c r="DI31" s="39">
        <f t="shared" si="46"/>
        <v>3120</v>
      </c>
      <c r="DJ31" s="39">
        <f t="shared" si="47"/>
        <v>197</v>
      </c>
      <c r="DK31" s="39">
        <f t="shared" si="48"/>
        <v>5910</v>
      </c>
    </row>
    <row r="32" spans="1:115" ht="18">
      <c r="A32" s="32">
        <f t="shared" si="19"/>
        <v>46111</v>
      </c>
      <c r="B32" s="34">
        <v>69</v>
      </c>
      <c r="C32" s="4">
        <v>42</v>
      </c>
      <c r="D32" s="4">
        <v>65</v>
      </c>
      <c r="E32" s="4"/>
      <c r="F32" s="4">
        <f t="shared" si="20"/>
        <v>176</v>
      </c>
      <c r="G32" s="4">
        <f t="shared" si="0"/>
        <v>2070</v>
      </c>
      <c r="H32" s="4">
        <f t="shared" si="1"/>
        <v>1260</v>
      </c>
      <c r="I32" s="4">
        <f t="shared" si="2"/>
        <v>1950</v>
      </c>
      <c r="J32" s="4">
        <f t="shared" si="3"/>
        <v>0</v>
      </c>
      <c r="K32" s="30">
        <f t="shared" si="4"/>
        <v>5280</v>
      </c>
      <c r="L32" s="58">
        <f t="shared" si="5"/>
        <v>1956</v>
      </c>
      <c r="M32" s="206">
        <v>3</v>
      </c>
      <c r="N32" s="178">
        <v>19.100000000000001</v>
      </c>
      <c r="O32" s="178">
        <v>26</v>
      </c>
      <c r="P32" s="178">
        <v>162.94999999999999</v>
      </c>
      <c r="Q32" s="178">
        <v>3.6</v>
      </c>
      <c r="R32" s="178">
        <v>39.950000000000003</v>
      </c>
      <c r="S32" s="292">
        <v>7.7</v>
      </c>
      <c r="T32" s="292">
        <v>60</v>
      </c>
      <c r="U32" s="292">
        <v>24.8</v>
      </c>
      <c r="V32" s="292">
        <v>300</v>
      </c>
      <c r="W32" s="178">
        <f t="shared" si="54"/>
        <v>119.39999999999999</v>
      </c>
      <c r="X32" s="200">
        <v>4.8</v>
      </c>
      <c r="Y32" s="200">
        <v>6.4</v>
      </c>
      <c r="Z32" s="200">
        <v>7</v>
      </c>
      <c r="AA32" s="200">
        <v>103</v>
      </c>
      <c r="AB32" s="200">
        <v>3481.87</v>
      </c>
      <c r="AC32" s="200">
        <v>410</v>
      </c>
      <c r="AD32" s="178">
        <v>2</v>
      </c>
      <c r="AE32" s="178">
        <v>0</v>
      </c>
      <c r="AF32" s="178">
        <v>2</v>
      </c>
      <c r="AG32" s="178">
        <v>8</v>
      </c>
      <c r="AH32" s="178">
        <f t="shared" si="22"/>
        <v>232</v>
      </c>
      <c r="AI32" s="178">
        <v>60</v>
      </c>
      <c r="AJ32" s="200">
        <v>2</v>
      </c>
      <c r="AK32" s="200">
        <v>10.199999999999999</v>
      </c>
      <c r="AL32" s="200">
        <v>53</v>
      </c>
      <c r="AM32" s="200">
        <v>181.2</v>
      </c>
      <c r="AN32" s="275"/>
      <c r="AO32" s="275">
        <v>181.2</v>
      </c>
      <c r="AP32" s="275">
        <f t="shared" si="23"/>
        <v>0</v>
      </c>
      <c r="AQ32" s="276">
        <v>300</v>
      </c>
      <c r="AR32" s="62">
        <v>2</v>
      </c>
      <c r="AS32" s="62">
        <v>145</v>
      </c>
      <c r="AT32" s="62">
        <v>237</v>
      </c>
      <c r="AU32" s="62">
        <v>7</v>
      </c>
      <c r="AV32" s="62">
        <v>8.1</v>
      </c>
      <c r="AW32" s="62">
        <v>7.94</v>
      </c>
      <c r="AX32" s="62">
        <v>9</v>
      </c>
      <c r="AY32" s="62">
        <v>8</v>
      </c>
      <c r="AZ32" s="269">
        <v>1400</v>
      </c>
      <c r="BA32" s="94">
        <v>700</v>
      </c>
      <c r="BB32" s="95">
        <f t="shared" si="24"/>
        <v>700</v>
      </c>
      <c r="BC32" s="124">
        <v>0</v>
      </c>
      <c r="BD32" s="124">
        <v>0</v>
      </c>
      <c r="BE32" s="124">
        <v>0</v>
      </c>
      <c r="BF32" s="124">
        <v>0</v>
      </c>
      <c r="BG32" s="124">
        <v>0</v>
      </c>
      <c r="BH32" s="124">
        <v>0</v>
      </c>
      <c r="BI32" s="124">
        <v>0</v>
      </c>
      <c r="BJ32" s="124">
        <v>0</v>
      </c>
      <c r="BK32" s="124">
        <v>0</v>
      </c>
      <c r="BL32" s="124">
        <v>0</v>
      </c>
      <c r="BM32" s="181">
        <f t="shared" si="6"/>
        <v>7.94</v>
      </c>
      <c r="BN32" s="181">
        <f t="shared" si="7"/>
        <v>9</v>
      </c>
      <c r="BO32" s="181">
        <f t="shared" si="8"/>
        <v>8</v>
      </c>
      <c r="BP32" s="181">
        <f t="shared" si="9"/>
        <v>1400</v>
      </c>
      <c r="BQ32" s="181">
        <f t="shared" si="26"/>
        <v>8.1</v>
      </c>
      <c r="BR32" s="181">
        <f t="shared" si="27"/>
        <v>145</v>
      </c>
      <c r="BS32" s="181">
        <f t="shared" si="28"/>
        <v>237</v>
      </c>
      <c r="BT32" s="181">
        <f t="shared" si="29"/>
        <v>382</v>
      </c>
      <c r="BU32" s="86">
        <v>7.6</v>
      </c>
      <c r="BV32" s="86">
        <v>800</v>
      </c>
      <c r="BW32" s="86">
        <v>2</v>
      </c>
      <c r="BX32" s="86">
        <v>15.9</v>
      </c>
      <c r="BY32" s="86">
        <v>284</v>
      </c>
      <c r="BZ32" s="86">
        <v>75</v>
      </c>
      <c r="CA32" s="86">
        <f t="shared" si="30"/>
        <v>359</v>
      </c>
      <c r="CB32" s="4">
        <f>2150-360</f>
        <v>1790</v>
      </c>
      <c r="CC32" s="4">
        <f>517-80</f>
        <v>437</v>
      </c>
      <c r="CD32" s="55">
        <f t="shared" si="31"/>
        <v>300</v>
      </c>
      <c r="CE32" s="4">
        <v>130</v>
      </c>
      <c r="CF32" s="4">
        <f t="shared" si="55"/>
        <v>410</v>
      </c>
      <c r="CG32" s="22">
        <f t="shared" si="11"/>
        <v>60</v>
      </c>
      <c r="CH32" s="4">
        <v>0</v>
      </c>
      <c r="CI32" s="4">
        <v>220</v>
      </c>
      <c r="CJ32" s="4">
        <f t="shared" si="32"/>
        <v>300</v>
      </c>
      <c r="CK32" s="37">
        <f t="shared" si="33"/>
        <v>3647</v>
      </c>
      <c r="CL32" s="4">
        <v>3800</v>
      </c>
      <c r="CM32" s="47">
        <f t="shared" si="49"/>
        <v>84</v>
      </c>
      <c r="CN32" s="173">
        <f t="shared" si="34"/>
        <v>3800</v>
      </c>
      <c r="CO32" s="46">
        <f t="shared" si="35"/>
        <v>3884</v>
      </c>
      <c r="CP32" s="47">
        <f t="shared" si="36"/>
        <v>3647</v>
      </c>
      <c r="CQ32" s="174">
        <f t="shared" si="37"/>
        <v>237</v>
      </c>
      <c r="CR32" s="91">
        <v>3537</v>
      </c>
      <c r="CS32" s="183">
        <f t="shared" si="12"/>
        <v>410</v>
      </c>
      <c r="CT32" s="184">
        <f t="shared" si="13"/>
        <v>60</v>
      </c>
      <c r="CU32" s="183">
        <f t="shared" si="38"/>
        <v>382</v>
      </c>
      <c r="CV32" s="185">
        <f t="shared" si="39"/>
        <v>0</v>
      </c>
      <c r="CW32" s="185">
        <f t="shared" si="14"/>
        <v>359</v>
      </c>
      <c r="CX32" s="185">
        <f t="shared" si="50"/>
        <v>300</v>
      </c>
      <c r="CY32" s="185">
        <f t="shared" si="16"/>
        <v>300</v>
      </c>
      <c r="CZ32" s="184">
        <f t="shared" si="51"/>
        <v>1726</v>
      </c>
      <c r="DA32" s="315">
        <f t="shared" si="41"/>
        <v>2326</v>
      </c>
      <c r="DB32" s="271"/>
      <c r="DC32" s="175">
        <f t="shared" si="17"/>
        <v>2026</v>
      </c>
      <c r="DD32" s="177">
        <f t="shared" si="18"/>
        <v>741</v>
      </c>
      <c r="DE32" s="32">
        <f t="shared" si="42"/>
        <v>46111</v>
      </c>
      <c r="DF32" s="39">
        <f t="shared" si="43"/>
        <v>65</v>
      </c>
      <c r="DG32" s="39">
        <f t="shared" si="44"/>
        <v>1950</v>
      </c>
      <c r="DH32" s="39">
        <f t="shared" si="45"/>
        <v>111</v>
      </c>
      <c r="DI32" s="39">
        <f t="shared" si="46"/>
        <v>3330</v>
      </c>
      <c r="DJ32" s="39">
        <f t="shared" si="47"/>
        <v>176</v>
      </c>
      <c r="DK32" s="39">
        <f t="shared" si="48"/>
        <v>5280</v>
      </c>
    </row>
    <row r="33" spans="1:115" ht="18.600000000000001" thickBot="1">
      <c r="A33" s="32">
        <f t="shared" si="19"/>
        <v>46112</v>
      </c>
      <c r="B33" s="27"/>
      <c r="C33" s="27"/>
      <c r="D33" s="27"/>
      <c r="E33" s="27"/>
      <c r="F33" s="4">
        <f t="shared" si="20"/>
        <v>0</v>
      </c>
      <c r="G33" s="4">
        <f t="shared" si="0"/>
        <v>0</v>
      </c>
      <c r="H33" s="4">
        <f t="shared" si="1"/>
        <v>0</v>
      </c>
      <c r="I33" s="4">
        <f t="shared" si="2"/>
        <v>0</v>
      </c>
      <c r="J33" s="4">
        <f t="shared" si="3"/>
        <v>0</v>
      </c>
      <c r="K33" s="30">
        <f t="shared" si="4"/>
        <v>0</v>
      </c>
      <c r="L33" s="58">
        <f t="shared" si="5"/>
        <v>0</v>
      </c>
      <c r="M33" s="209"/>
      <c r="N33" s="178"/>
      <c r="O33" s="178"/>
      <c r="P33" s="178"/>
      <c r="Q33" s="178"/>
      <c r="R33" s="178"/>
      <c r="S33" s="292"/>
      <c r="T33" s="292"/>
      <c r="U33" s="292"/>
      <c r="V33" s="292"/>
      <c r="W33" s="178">
        <f t="shared" si="54"/>
        <v>0</v>
      </c>
      <c r="X33" s="201"/>
      <c r="Y33" s="201"/>
      <c r="Z33" s="201"/>
      <c r="AA33" s="201"/>
      <c r="AB33" s="201"/>
      <c r="AC33" s="201"/>
      <c r="AD33" s="179"/>
      <c r="AE33" s="179"/>
      <c r="AF33" s="179"/>
      <c r="AG33" s="179"/>
      <c r="AH33" s="178">
        <f t="shared" si="22"/>
        <v>0</v>
      </c>
      <c r="AI33" s="179"/>
      <c r="AJ33" s="201"/>
      <c r="AK33" s="201"/>
      <c r="AL33" s="201"/>
      <c r="AM33" s="201"/>
      <c r="AN33" s="277"/>
      <c r="AO33" s="277"/>
      <c r="AP33" s="275">
        <f t="shared" si="23"/>
        <v>0</v>
      </c>
      <c r="AQ33" s="279"/>
      <c r="AR33" s="102"/>
      <c r="AS33" s="102"/>
      <c r="AT33" s="102"/>
      <c r="AU33" s="102"/>
      <c r="AV33" s="102"/>
      <c r="AW33" s="102"/>
      <c r="AX33" s="102"/>
      <c r="AY33" s="102"/>
      <c r="AZ33" s="272"/>
      <c r="BA33" s="94"/>
      <c r="BB33" s="95">
        <f t="shared" si="24"/>
        <v>0</v>
      </c>
      <c r="BC33" s="124"/>
      <c r="BD33" s="124"/>
      <c r="BE33" s="124"/>
      <c r="BF33" s="127"/>
      <c r="BG33" s="127"/>
      <c r="BH33" s="127"/>
      <c r="BI33" s="127"/>
      <c r="BJ33" s="127"/>
      <c r="BK33" s="127"/>
      <c r="BL33" s="124">
        <f t="shared" si="25"/>
        <v>0</v>
      </c>
      <c r="BM33" s="181">
        <f t="shared" si="6"/>
        <v>0</v>
      </c>
      <c r="BN33" s="181">
        <f t="shared" si="7"/>
        <v>0</v>
      </c>
      <c r="BO33" s="181">
        <f t="shared" si="8"/>
        <v>0</v>
      </c>
      <c r="BP33" s="181">
        <f t="shared" si="9"/>
        <v>0</v>
      </c>
      <c r="BQ33" s="181">
        <f t="shared" si="26"/>
        <v>0</v>
      </c>
      <c r="BR33" s="181">
        <f t="shared" si="27"/>
        <v>0</v>
      </c>
      <c r="BS33" s="181">
        <f t="shared" si="28"/>
        <v>0</v>
      </c>
      <c r="BT33" s="181">
        <f t="shared" si="29"/>
        <v>0</v>
      </c>
      <c r="BU33" s="88"/>
      <c r="BV33" s="88"/>
      <c r="BW33" s="86"/>
      <c r="BX33" s="86"/>
      <c r="BY33" s="86"/>
      <c r="BZ33" s="86"/>
      <c r="CA33" s="86">
        <f t="shared" si="30"/>
        <v>0</v>
      </c>
      <c r="CB33" s="27"/>
      <c r="CC33" s="27"/>
      <c r="CD33" s="55">
        <f t="shared" si="31"/>
        <v>0</v>
      </c>
      <c r="CE33" s="27"/>
      <c r="CF33" s="4">
        <f t="shared" si="55"/>
        <v>0</v>
      </c>
      <c r="CG33" s="22">
        <f t="shared" si="11"/>
        <v>0</v>
      </c>
      <c r="CH33" s="27"/>
      <c r="CI33" s="27"/>
      <c r="CJ33" s="4">
        <f t="shared" si="32"/>
        <v>0</v>
      </c>
      <c r="CK33" s="37">
        <f>+CB33+CC33+CD33+CE33+CF33+CG33+CH33+CI33+CJ33</f>
        <v>0</v>
      </c>
      <c r="CL33" s="18"/>
      <c r="CM33" s="47">
        <f t="shared" si="49"/>
        <v>237</v>
      </c>
      <c r="CN33" s="173">
        <f t="shared" si="34"/>
        <v>0</v>
      </c>
      <c r="CO33" s="46">
        <f t="shared" si="35"/>
        <v>237</v>
      </c>
      <c r="CP33" s="47">
        <f t="shared" si="36"/>
        <v>0</v>
      </c>
      <c r="CQ33" s="174">
        <f t="shared" si="37"/>
        <v>237</v>
      </c>
      <c r="CR33" s="91"/>
      <c r="CS33" s="183">
        <f t="shared" si="12"/>
        <v>0</v>
      </c>
      <c r="CT33" s="184">
        <f t="shared" si="13"/>
        <v>0</v>
      </c>
      <c r="CU33" s="183">
        <f t="shared" si="38"/>
        <v>0</v>
      </c>
      <c r="CV33" s="185">
        <f t="shared" si="39"/>
        <v>0</v>
      </c>
      <c r="CW33" s="185">
        <f t="shared" si="14"/>
        <v>0</v>
      </c>
      <c r="CX33" s="185">
        <f t="shared" si="50"/>
        <v>0</v>
      </c>
      <c r="CY33" s="185">
        <f t="shared" si="16"/>
        <v>0</v>
      </c>
      <c r="CZ33" s="184">
        <f t="shared" si="51"/>
        <v>0</v>
      </c>
      <c r="DA33" s="315">
        <f t="shared" si="41"/>
        <v>0</v>
      </c>
      <c r="DD33" s="177">
        <f t="shared" si="18"/>
        <v>0</v>
      </c>
      <c r="DE33" s="32">
        <f t="shared" si="42"/>
        <v>46112</v>
      </c>
      <c r="DF33" s="39">
        <f t="shared" si="43"/>
        <v>0</v>
      </c>
      <c r="DG33" s="39">
        <f t="shared" si="44"/>
        <v>0</v>
      </c>
      <c r="DH33" s="39">
        <f t="shared" si="45"/>
        <v>0</v>
      </c>
      <c r="DI33" s="39">
        <f t="shared" si="46"/>
        <v>0</v>
      </c>
      <c r="DJ33" s="39">
        <f t="shared" si="47"/>
        <v>0</v>
      </c>
      <c r="DK33" s="39">
        <f t="shared" si="48"/>
        <v>0</v>
      </c>
    </row>
    <row r="34" spans="1:115" ht="18.600000000000001" thickBot="1">
      <c r="A34" s="78" t="s">
        <v>27</v>
      </c>
      <c r="B34" s="79">
        <f t="shared" ref="B34:BB34" si="56">SUM(B3:B33)</f>
        <v>560</v>
      </c>
      <c r="C34" s="79">
        <f t="shared" si="56"/>
        <v>448</v>
      </c>
      <c r="D34" s="79">
        <f t="shared" si="56"/>
        <v>2944</v>
      </c>
      <c r="E34" s="79">
        <f t="shared" si="56"/>
        <v>0</v>
      </c>
      <c r="F34" s="79">
        <f t="shared" si="56"/>
        <v>3952</v>
      </c>
      <c r="G34" s="79">
        <f t="shared" si="56"/>
        <v>16800</v>
      </c>
      <c r="H34" s="79">
        <f t="shared" si="56"/>
        <v>13440</v>
      </c>
      <c r="I34" s="26">
        <f t="shared" si="56"/>
        <v>88320</v>
      </c>
      <c r="J34" s="26">
        <f t="shared" si="56"/>
        <v>0</v>
      </c>
      <c r="K34" s="26">
        <f>SUM(K3:K33)</f>
        <v>118560</v>
      </c>
      <c r="L34" s="26">
        <f t="shared" si="56"/>
        <v>43923</v>
      </c>
      <c r="M34" s="180"/>
      <c r="N34" s="180">
        <f t="shared" si="56"/>
        <v>530.5</v>
      </c>
      <c r="O34" s="180">
        <f t="shared" si="56"/>
        <v>602</v>
      </c>
      <c r="P34" s="180">
        <f t="shared" si="56"/>
        <v>3650.5299999999997</v>
      </c>
      <c r="Q34" s="180">
        <f t="shared" si="56"/>
        <v>513.19999999999993</v>
      </c>
      <c r="R34" s="180">
        <f t="shared" si="56"/>
        <v>720.42</v>
      </c>
      <c r="S34" s="294">
        <f t="shared" si="56"/>
        <v>221.09999999999997</v>
      </c>
      <c r="T34" s="294">
        <f t="shared" si="56"/>
        <v>1594</v>
      </c>
      <c r="U34" s="294">
        <f t="shared" si="56"/>
        <v>741.6</v>
      </c>
      <c r="V34" s="294">
        <f t="shared" si="56"/>
        <v>12052</v>
      </c>
      <c r="W34" s="180">
        <f t="shared" si="56"/>
        <v>2454.9100000000003</v>
      </c>
      <c r="X34" s="180">
        <f t="shared" si="56"/>
        <v>76.40000000000002</v>
      </c>
      <c r="Y34" s="180">
        <f t="shared" si="56"/>
        <v>160.20000000000002</v>
      </c>
      <c r="Z34" s="180"/>
      <c r="AA34" s="180">
        <f t="shared" si="56"/>
        <v>1715</v>
      </c>
      <c r="AB34" s="180">
        <f t="shared" si="56"/>
        <v>54958.450000000012</v>
      </c>
      <c r="AC34" s="180">
        <f t="shared" si="56"/>
        <v>8217</v>
      </c>
      <c r="AD34" s="180"/>
      <c r="AE34" s="180"/>
      <c r="AF34" s="180"/>
      <c r="AG34" s="180">
        <f t="shared" si="56"/>
        <v>1600</v>
      </c>
      <c r="AH34" s="180">
        <f t="shared" si="56"/>
        <v>47864</v>
      </c>
      <c r="AI34" s="180">
        <f>SUM(AI3:AI33)</f>
        <v>6591</v>
      </c>
      <c r="AJ34" s="280"/>
      <c r="AK34" s="281">
        <f t="shared" si="56"/>
        <v>261.10000000000002</v>
      </c>
      <c r="AL34" s="281">
        <f t="shared" si="56"/>
        <v>997</v>
      </c>
      <c r="AM34" s="281">
        <f t="shared" si="56"/>
        <v>4328.4999999999991</v>
      </c>
      <c r="AN34" s="281">
        <f t="shared" si="56"/>
        <v>171.5</v>
      </c>
      <c r="AO34" s="281">
        <f t="shared" si="56"/>
        <v>4157</v>
      </c>
      <c r="AP34" s="281">
        <f t="shared" si="56"/>
        <v>0</v>
      </c>
      <c r="AQ34" s="281">
        <f t="shared" si="56"/>
        <v>10037</v>
      </c>
      <c r="AR34" s="103">
        <f>SUM(AR3:AR33)</f>
        <v>76</v>
      </c>
      <c r="AS34" s="103">
        <f t="shared" si="56"/>
        <v>7747</v>
      </c>
      <c r="AT34" s="103">
        <f t="shared" si="56"/>
        <v>1362</v>
      </c>
      <c r="AU34" s="103">
        <f>SUM(AU3:AU33)</f>
        <v>39.85</v>
      </c>
      <c r="AV34" s="103">
        <f t="shared" si="56"/>
        <v>497.9</v>
      </c>
      <c r="AW34" s="103">
        <f t="shared" si="56"/>
        <v>221.70999999999998</v>
      </c>
      <c r="AX34" s="103">
        <f t="shared" si="56"/>
        <v>237</v>
      </c>
      <c r="AY34" s="103">
        <f t="shared" si="56"/>
        <v>241</v>
      </c>
      <c r="AZ34" s="283">
        <f>SUM(AZ3:AZ33)</f>
        <v>33690</v>
      </c>
      <c r="BA34" s="273">
        <f t="shared" si="56"/>
        <v>16730</v>
      </c>
      <c r="BB34" s="103">
        <f t="shared" si="56"/>
        <v>16960</v>
      </c>
      <c r="BC34" s="72">
        <f t="shared" ref="BC34:CA34" si="57">SUM(BC3:BC33)</f>
        <v>131</v>
      </c>
      <c r="BD34" s="72">
        <f t="shared" si="57"/>
        <v>111.50000000000001</v>
      </c>
      <c r="BE34" s="72">
        <f t="shared" si="57"/>
        <v>7810</v>
      </c>
      <c r="BF34" s="72">
        <f t="shared" si="57"/>
        <v>3920</v>
      </c>
      <c r="BG34" s="72">
        <f t="shared" si="57"/>
        <v>3890</v>
      </c>
      <c r="BH34" s="72"/>
      <c r="BI34" s="72">
        <f t="shared" si="57"/>
        <v>135.6</v>
      </c>
      <c r="BJ34" s="72">
        <f t="shared" si="57"/>
        <v>1787</v>
      </c>
      <c r="BK34" s="72">
        <f t="shared" si="57"/>
        <v>3708</v>
      </c>
      <c r="BL34" s="72">
        <f t="shared" si="57"/>
        <v>5495</v>
      </c>
      <c r="BM34" s="72">
        <f t="shared" si="57"/>
        <v>352.71</v>
      </c>
      <c r="BN34" s="72">
        <f t="shared" si="57"/>
        <v>368</v>
      </c>
      <c r="BO34" s="72">
        <f t="shared" si="57"/>
        <v>352.5</v>
      </c>
      <c r="BP34" s="72">
        <f t="shared" si="57"/>
        <v>41500</v>
      </c>
      <c r="BQ34" s="72">
        <f t="shared" si="57"/>
        <v>633.5</v>
      </c>
      <c r="BR34" s="72">
        <f t="shared" si="57"/>
        <v>9534</v>
      </c>
      <c r="BS34" s="72">
        <f t="shared" si="57"/>
        <v>5070</v>
      </c>
      <c r="BT34" s="72">
        <f t="shared" si="57"/>
        <v>14604</v>
      </c>
      <c r="BU34" s="172">
        <f t="shared" si="57"/>
        <v>103.29999999999998</v>
      </c>
      <c r="BV34" s="172">
        <f t="shared" si="57"/>
        <v>9500</v>
      </c>
      <c r="BW34" s="172">
        <f t="shared" si="57"/>
        <v>31</v>
      </c>
      <c r="BX34" s="172"/>
      <c r="BY34" s="172"/>
      <c r="BZ34" s="172"/>
      <c r="CA34" s="172">
        <f t="shared" si="57"/>
        <v>3549</v>
      </c>
      <c r="CB34" s="63">
        <f>SUM(CB3:CB33)</f>
        <v>29840</v>
      </c>
      <c r="CC34" s="63">
        <f t="shared" ref="CC34:CL34" si="58">SUM(CC3:CC33)</f>
        <v>9389</v>
      </c>
      <c r="CD34" s="63">
        <f>SUM(CD3:CD33)</f>
        <v>10037</v>
      </c>
      <c r="CE34" s="63">
        <f t="shared" si="58"/>
        <v>4055</v>
      </c>
      <c r="CF34" s="63">
        <f t="shared" si="58"/>
        <v>8217</v>
      </c>
      <c r="CG34" s="63">
        <f t="shared" si="58"/>
        <v>6591</v>
      </c>
      <c r="CH34" s="63">
        <f t="shared" si="58"/>
        <v>4593</v>
      </c>
      <c r="CI34" s="63">
        <f t="shared" si="58"/>
        <v>3042</v>
      </c>
      <c r="CJ34" s="63">
        <f t="shared" si="58"/>
        <v>12052</v>
      </c>
      <c r="CK34" s="63">
        <f t="shared" si="58"/>
        <v>87816</v>
      </c>
      <c r="CL34" s="63">
        <f t="shared" si="58"/>
        <v>86557</v>
      </c>
      <c r="CM34" s="90">
        <f t="shared" ref="CM34:CR34" si="59">SUM(CM3:CM33)</f>
        <v>20015</v>
      </c>
      <c r="CN34" s="90">
        <f t="shared" si="59"/>
        <v>86557</v>
      </c>
      <c r="CO34" s="90">
        <f t="shared" si="59"/>
        <v>106572</v>
      </c>
      <c r="CP34" s="90">
        <f t="shared" si="59"/>
        <v>87816</v>
      </c>
      <c r="CQ34" s="90">
        <f t="shared" si="59"/>
        <v>18756</v>
      </c>
      <c r="CR34" s="92">
        <f t="shared" si="59"/>
        <v>89324</v>
      </c>
      <c r="CS34" s="183">
        <f>SUM(CS3:CS33)</f>
        <v>8217</v>
      </c>
      <c r="CT34" s="183">
        <f t="shared" ref="CT34:DK34" si="60">SUM(CT3:CT33)</f>
        <v>6591</v>
      </c>
      <c r="CU34" s="183">
        <f t="shared" si="60"/>
        <v>9109</v>
      </c>
      <c r="CV34" s="183">
        <f t="shared" si="60"/>
        <v>5495</v>
      </c>
      <c r="CW34" s="183">
        <f t="shared" si="60"/>
        <v>3549</v>
      </c>
      <c r="CX34" s="183">
        <f t="shared" si="60"/>
        <v>12052</v>
      </c>
      <c r="CY34" s="183">
        <f t="shared" si="60"/>
        <v>10037</v>
      </c>
      <c r="CZ34" s="183">
        <f t="shared" si="60"/>
        <v>34274</v>
      </c>
      <c r="DA34" s="183">
        <f t="shared" si="60"/>
        <v>56363</v>
      </c>
      <c r="DB34" s="73">
        <f t="shared" si="60"/>
        <v>53853</v>
      </c>
      <c r="DC34" s="73">
        <f t="shared" si="60"/>
        <v>44311</v>
      </c>
      <c r="DD34" s="73">
        <f t="shared" si="60"/>
        <v>18153</v>
      </c>
      <c r="DE34" s="4"/>
      <c r="DF34" s="4">
        <f t="shared" si="60"/>
        <v>2944</v>
      </c>
      <c r="DG34" s="4">
        <f t="shared" si="60"/>
        <v>88320</v>
      </c>
      <c r="DH34" s="4">
        <f t="shared" si="60"/>
        <v>1008</v>
      </c>
      <c r="DI34" s="4">
        <f t="shared" si="60"/>
        <v>30240</v>
      </c>
      <c r="DJ34" s="4">
        <f t="shared" si="60"/>
        <v>3952</v>
      </c>
      <c r="DK34" s="4">
        <f t="shared" si="60"/>
        <v>118560</v>
      </c>
    </row>
    <row r="35" spans="1:115" ht="14.4" customHeight="1">
      <c r="A35" s="80" t="s">
        <v>104</v>
      </c>
      <c r="B35" s="81" t="s">
        <v>103</v>
      </c>
      <c r="C35" s="81" t="s">
        <v>33</v>
      </c>
      <c r="D35" s="81" t="s">
        <v>101</v>
      </c>
      <c r="E35" s="81" t="s">
        <v>55</v>
      </c>
      <c r="F35" s="81" t="s">
        <v>102</v>
      </c>
      <c r="G35" s="81" t="s">
        <v>55</v>
      </c>
      <c r="H35" s="81" t="s">
        <v>68</v>
      </c>
      <c r="I35" s="14"/>
      <c r="J35" s="14"/>
      <c r="K35" s="14">
        <f>K34-T35</f>
        <v>62770</v>
      </c>
      <c r="L35" s="14"/>
      <c r="M35" s="14"/>
      <c r="N35" s="14"/>
      <c r="O35" s="14"/>
      <c r="P35" s="14"/>
      <c r="Q35" s="14"/>
      <c r="R35" s="14"/>
      <c r="S35" s="14"/>
      <c r="T35" s="14">
        <f>T34*35</f>
        <v>55790</v>
      </c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44" t="s">
        <v>63</v>
      </c>
      <c r="AL35" s="36" t="s">
        <v>63</v>
      </c>
      <c r="AM35" s="36" t="s">
        <v>64</v>
      </c>
      <c r="AN35" s="56"/>
      <c r="AO35" s="56"/>
      <c r="AP35" s="56"/>
      <c r="AQ35" s="56"/>
      <c r="AR35" s="56"/>
      <c r="AS35" s="56"/>
      <c r="AT35" s="56"/>
      <c r="AU35" s="62"/>
      <c r="AV35" s="56"/>
      <c r="AW35" s="62"/>
      <c r="AX35" s="62"/>
      <c r="AY35" s="62"/>
      <c r="AZ35" s="51">
        <f>CC34/AZ34</f>
        <v>0.27868803799346986</v>
      </c>
      <c r="BA35" s="19"/>
      <c r="BB35" s="20"/>
      <c r="BC35" s="64"/>
      <c r="BD35" s="360"/>
      <c r="BE35" s="360"/>
      <c r="BF35" s="64"/>
      <c r="BG35" s="64"/>
      <c r="BH35" s="64"/>
      <c r="BI35" s="64"/>
      <c r="BJ35" s="64"/>
      <c r="BK35" s="118"/>
      <c r="BL35" s="118"/>
      <c r="BM35" s="118"/>
      <c r="BN35" s="118"/>
      <c r="BO35" s="118"/>
      <c r="BP35" s="118"/>
      <c r="BQ35" s="118"/>
      <c r="BR35" s="118"/>
      <c r="BS35" s="118"/>
      <c r="BT35" s="118"/>
      <c r="BU35" s="67"/>
      <c r="BV35" s="67"/>
      <c r="BW35" s="67"/>
      <c r="BX35" s="67"/>
      <c r="BY35" s="67"/>
      <c r="BZ35" s="67"/>
      <c r="CA35" s="118"/>
      <c r="CB35" s="25" t="s">
        <v>26</v>
      </c>
      <c r="CC35" s="347">
        <f>+CM3</f>
        <v>1496</v>
      </c>
      <c r="CD35" s="348"/>
      <c r="CE35" s="197">
        <f>30+80</f>
        <v>110</v>
      </c>
      <c r="CF35" s="197"/>
      <c r="CG35" s="197"/>
      <c r="CH35" s="197"/>
      <c r="CI35" s="197"/>
      <c r="CJ35" s="197"/>
      <c r="CK35" s="20"/>
      <c r="CL35" s="197"/>
      <c r="CM35" s="89"/>
      <c r="CN35" s="89"/>
      <c r="CO35" s="89"/>
      <c r="CP35" s="89"/>
      <c r="CQ35" s="89"/>
      <c r="CR35" s="68"/>
    </row>
    <row r="36" spans="1:115" ht="14.4" customHeight="1">
      <c r="A36" s="80" t="s">
        <v>134</v>
      </c>
      <c r="B36" s="81">
        <f>220000/25</f>
        <v>8800</v>
      </c>
      <c r="C36" s="81">
        <v>50000</v>
      </c>
      <c r="D36" s="81"/>
      <c r="E36" s="81"/>
      <c r="F36" s="81">
        <v>15000</v>
      </c>
      <c r="G36" s="81"/>
      <c r="H36" s="81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>
        <f>AI34/AH34</f>
        <v>0.1377026575296674</v>
      </c>
      <c r="AJ36" s="14"/>
      <c r="AK36" s="44"/>
      <c r="AL36" s="36"/>
      <c r="AM36" s="36"/>
      <c r="AN36" s="56"/>
      <c r="AO36" s="56"/>
      <c r="AP36" s="56"/>
      <c r="AQ36" s="56"/>
      <c r="AR36" s="56"/>
      <c r="AS36" s="56"/>
      <c r="AT36" s="56"/>
      <c r="AU36" s="62"/>
      <c r="AV36" s="56"/>
      <c r="AW36" s="62"/>
      <c r="AX36" s="62"/>
      <c r="AY36" s="62"/>
      <c r="AZ36" s="51"/>
      <c r="BA36" s="19"/>
      <c r="BB36" s="20"/>
      <c r="BC36" s="64"/>
      <c r="BD36" s="361"/>
      <c r="BE36" s="361"/>
      <c r="BF36" s="64"/>
      <c r="BG36" s="64"/>
      <c r="BH36" s="64"/>
      <c r="BI36" s="64"/>
      <c r="BJ36" s="64"/>
      <c r="BK36" s="118"/>
      <c r="BL36" s="118"/>
      <c r="BM36" s="118"/>
      <c r="BN36" s="118"/>
      <c r="BO36" s="118"/>
      <c r="BP36" s="118"/>
      <c r="BQ36" s="118"/>
      <c r="BR36" s="118"/>
      <c r="BS36" s="118"/>
      <c r="BT36" s="118"/>
      <c r="BU36" s="67"/>
      <c r="BV36" s="67"/>
      <c r="BW36" s="67"/>
      <c r="BX36" s="67"/>
      <c r="BY36" s="67"/>
      <c r="BZ36" s="67"/>
      <c r="CA36" s="118"/>
      <c r="CB36" s="25"/>
      <c r="CC36" s="12"/>
      <c r="CD36" s="282"/>
      <c r="CE36" s="197">
        <f>410+60</f>
        <v>470</v>
      </c>
      <c r="CF36" s="197">
        <f>CE36-110</f>
        <v>360</v>
      </c>
      <c r="CG36" s="197"/>
      <c r="CH36" s="197"/>
      <c r="CI36" s="197"/>
      <c r="CJ36" s="197"/>
      <c r="CK36" s="20"/>
      <c r="CL36" s="197"/>
      <c r="CM36" s="89"/>
      <c r="CN36" s="89"/>
      <c r="CO36" s="89"/>
      <c r="CP36" s="89"/>
      <c r="CQ36" s="288"/>
      <c r="CR36" s="68"/>
    </row>
    <row r="37" spans="1:115" ht="15.6">
      <c r="A37" s="82" t="s">
        <v>105</v>
      </c>
      <c r="B37" s="83">
        <f>B36/30</f>
        <v>293.33333333333331</v>
      </c>
      <c r="C37" s="83">
        <f t="shared" ref="C37:F37" si="61">C36/25</f>
        <v>2000</v>
      </c>
      <c r="D37" s="83">
        <f t="shared" si="61"/>
        <v>0</v>
      </c>
      <c r="E37" s="83">
        <f t="shared" si="61"/>
        <v>0</v>
      </c>
      <c r="F37" s="83">
        <f t="shared" si="61"/>
        <v>600</v>
      </c>
      <c r="G37" s="83">
        <f>E37+F37</f>
        <v>600</v>
      </c>
      <c r="H37" s="84">
        <v>3000</v>
      </c>
      <c r="I37" s="43"/>
      <c r="J37" s="43"/>
      <c r="K37" s="15"/>
      <c r="L37" s="15"/>
      <c r="M37" s="15"/>
      <c r="N37" s="76"/>
      <c r="O37" s="77"/>
      <c r="P37" s="76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49"/>
      <c r="AH37" s="15"/>
      <c r="AI37" s="15"/>
      <c r="AJ37" s="15"/>
      <c r="AK37" s="45" t="e">
        <f>#REF!/AK34</f>
        <v>#REF!</v>
      </c>
      <c r="AL37" s="28" t="e">
        <f>#REF!/AL34</f>
        <v>#REF!</v>
      </c>
      <c r="AM37" s="29" t="e">
        <f>#REF!/AM34</f>
        <v>#REF!</v>
      </c>
      <c r="AN37" s="57"/>
      <c r="AO37" s="57"/>
      <c r="AP37" s="57"/>
      <c r="AQ37" s="57"/>
      <c r="AR37" s="119"/>
      <c r="AS37" s="119"/>
      <c r="AT37" s="119"/>
      <c r="AU37" s="3"/>
      <c r="AV37" s="119"/>
      <c r="AW37" s="3"/>
      <c r="AX37" s="3"/>
      <c r="AY37" s="3"/>
      <c r="AZ37" s="17">
        <f>(CB34+CD34+CE34)/K34</f>
        <v>0.37054655870445347</v>
      </c>
      <c r="BA37" s="9">
        <f>BA34-BA35</f>
        <v>16730</v>
      </c>
      <c r="BB37" s="121">
        <f>BB34-BB35</f>
        <v>16960</v>
      </c>
      <c r="BC37" s="65"/>
      <c r="BD37" s="361"/>
      <c r="BE37" s="361"/>
      <c r="BF37" s="65"/>
      <c r="BG37" s="65"/>
      <c r="BH37" s="65"/>
      <c r="BI37" s="65"/>
      <c r="BJ37" s="65"/>
      <c r="BK37" s="119"/>
      <c r="BL37" s="119"/>
      <c r="BM37" s="119"/>
      <c r="BN37" s="119"/>
      <c r="BO37" s="119"/>
      <c r="BP37" s="119"/>
      <c r="BQ37" s="119"/>
      <c r="BR37" s="119"/>
      <c r="BS37" s="119"/>
      <c r="BT37" s="119"/>
      <c r="BU37" s="68"/>
      <c r="BV37" s="68"/>
      <c r="BW37" s="68"/>
      <c r="BX37" s="68"/>
      <c r="BY37" s="68"/>
      <c r="BZ37" s="68"/>
      <c r="CA37" s="119"/>
      <c r="CB37" s="4" t="s">
        <v>47</v>
      </c>
      <c r="CC37" s="349" t="e">
        <f>CK34+#REF!</f>
        <v>#REF!</v>
      </c>
      <c r="CD37" s="349"/>
      <c r="CE37" s="18">
        <f>666-235</f>
        <v>431</v>
      </c>
      <c r="CF37" s="18"/>
      <c r="CG37" s="4" t="s">
        <v>57</v>
      </c>
      <c r="CH37" s="18"/>
      <c r="CI37" s="18"/>
      <c r="CJ37" s="18"/>
      <c r="CK37" s="4" t="s">
        <v>26</v>
      </c>
      <c r="CL37" s="38">
        <f>CM3</f>
        <v>1496</v>
      </c>
      <c r="CM37" s="89"/>
      <c r="CN37" s="89"/>
      <c r="CO37" s="89"/>
      <c r="CP37" s="89"/>
      <c r="CQ37" s="89"/>
      <c r="CR37" s="68"/>
      <c r="CU37" s="20"/>
    </row>
    <row r="38" spans="1:115" ht="15.6">
      <c r="A38" s="43"/>
      <c r="B38" s="128"/>
      <c r="C38" s="128"/>
      <c r="D38" s="128"/>
      <c r="E38" s="128"/>
      <c r="F38" s="128"/>
      <c r="G38" s="43"/>
      <c r="H38" s="129"/>
      <c r="I38" s="130"/>
      <c r="J38" s="130"/>
      <c r="K38" s="131"/>
      <c r="L38" s="131"/>
      <c r="M38" s="131"/>
      <c r="N38" s="132"/>
      <c r="O38" s="132"/>
      <c r="P38" s="132"/>
      <c r="Q38" s="132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6"/>
      <c r="AL38" s="16"/>
      <c r="AM38" s="16"/>
      <c r="AN38" s="16"/>
      <c r="AO38" s="16"/>
      <c r="AP38" s="16"/>
      <c r="AQ38" s="16"/>
      <c r="AR38" s="15"/>
      <c r="AS38" s="15"/>
      <c r="AT38" s="15"/>
      <c r="AU38" s="38"/>
      <c r="AV38" s="15"/>
      <c r="AW38" s="38"/>
      <c r="AX38" s="38"/>
      <c r="AY38" s="38"/>
      <c r="AZ38" s="133">
        <f>CG34/AH34</f>
        <v>0.1377026575296674</v>
      </c>
      <c r="BA38" s="9"/>
      <c r="BB38" s="14"/>
      <c r="BC38" s="134"/>
      <c r="BD38" s="134"/>
      <c r="BE38" s="14"/>
      <c r="BF38" s="14"/>
      <c r="BG38" s="14"/>
      <c r="BH38" s="14"/>
      <c r="BI38" s="14"/>
      <c r="BJ38" s="14"/>
      <c r="BK38" s="14"/>
      <c r="BL38" s="14"/>
      <c r="BM38" s="14"/>
      <c r="BN38" s="14"/>
      <c r="BO38" s="14"/>
      <c r="BP38" s="14"/>
      <c r="BQ38" s="14"/>
      <c r="BR38" s="14"/>
      <c r="BS38" s="14"/>
      <c r="BT38" s="14"/>
      <c r="BU38" s="14"/>
      <c r="BV38" s="14"/>
      <c r="BW38" s="14"/>
      <c r="BX38" s="14"/>
      <c r="BY38" s="14"/>
      <c r="BZ38" s="14"/>
      <c r="CA38" s="14"/>
      <c r="CB38" s="4" t="s">
        <v>51</v>
      </c>
      <c r="CC38" s="349">
        <f>+CL34</f>
        <v>86557</v>
      </c>
      <c r="CD38" s="349"/>
      <c r="CE38" s="18"/>
      <c r="CF38" s="18"/>
      <c r="CG38" s="4" t="s">
        <v>58</v>
      </c>
      <c r="CH38" s="18"/>
      <c r="CI38" s="18"/>
      <c r="CJ38" s="18"/>
      <c r="CK38" s="4" t="s">
        <v>27</v>
      </c>
      <c r="CL38" s="38">
        <f>SUM(CL34:CL37)</f>
        <v>88053</v>
      </c>
      <c r="CM38" s="15"/>
      <c r="CN38" s="15"/>
      <c r="CO38" s="15"/>
      <c r="CP38" s="15"/>
      <c r="CQ38" s="15"/>
      <c r="CR38" s="15"/>
    </row>
    <row r="39" spans="1:115" ht="15.6">
      <c r="B39" s="135"/>
      <c r="C39" s="135"/>
      <c r="D39" s="135"/>
      <c r="E39" s="135"/>
      <c r="F39" s="135"/>
      <c r="AG39" s="1"/>
      <c r="AH39" s="1"/>
      <c r="AI39" s="1"/>
      <c r="AJ39" s="1"/>
      <c r="AR39" s="1"/>
      <c r="AS39" s="1"/>
      <c r="AT39" s="1"/>
      <c r="AU39" s="123"/>
      <c r="AV39" s="1"/>
      <c r="AW39" s="123"/>
      <c r="AX39" s="123"/>
      <c r="AY39" s="123"/>
      <c r="AZ39" s="133"/>
      <c r="BA39" s="21">
        <f>AZ34/AS34</f>
        <v>4.3487801729701818</v>
      </c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285" t="s">
        <v>50</v>
      </c>
      <c r="CC39" s="345" t="e">
        <f>CC38+CC35-CC37</f>
        <v>#REF!</v>
      </c>
      <c r="CD39" s="346"/>
      <c r="CE39" s="52"/>
      <c r="CF39" s="52"/>
      <c r="CG39" s="52"/>
      <c r="CH39" s="52"/>
      <c r="CI39" s="52"/>
      <c r="CJ39" s="52"/>
      <c r="CK39" s="52"/>
      <c r="CM39"/>
      <c r="CN39"/>
      <c r="CO39"/>
      <c r="CP39"/>
      <c r="CQ39"/>
      <c r="CR39"/>
    </row>
    <row r="40" spans="1:115">
      <c r="B40" s="135"/>
      <c r="C40" s="135"/>
      <c r="D40" s="135"/>
      <c r="E40" s="135"/>
      <c r="F40" s="135"/>
      <c r="AG40" s="1"/>
      <c r="AH40" s="1"/>
      <c r="AI40" s="1"/>
      <c r="AJ40" s="1"/>
      <c r="AR40" s="1"/>
      <c r="AS40" s="1"/>
      <c r="AT40" s="1"/>
      <c r="AV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C40" s="1">
        <f>17+154</f>
        <v>171</v>
      </c>
      <c r="CM40"/>
      <c r="CN40"/>
      <c r="CO40"/>
      <c r="CP40"/>
      <c r="CQ40"/>
      <c r="CR40"/>
    </row>
    <row r="41" spans="1:115">
      <c r="AG41" s="1"/>
      <c r="AH41" s="1"/>
      <c r="AI41" s="1"/>
      <c r="AJ41" s="1"/>
      <c r="AR41" s="1"/>
      <c r="AS41" s="1"/>
      <c r="AT41" s="1"/>
      <c r="AV41" s="1"/>
      <c r="AY41" s="136">
        <f>AZ32+BE32</f>
        <v>1400</v>
      </c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C41" s="1">
        <f>975-CC40</f>
        <v>804</v>
      </c>
      <c r="CM41"/>
      <c r="CN41"/>
      <c r="CO41"/>
      <c r="CP41"/>
      <c r="CQ41"/>
      <c r="CR41"/>
    </row>
    <row r="42" spans="1:115">
      <c r="AG42" s="1"/>
      <c r="AH42" s="1"/>
      <c r="AI42" s="1"/>
      <c r="AJ42" s="1"/>
      <c r="AR42" s="1"/>
      <c r="AS42" s="1"/>
      <c r="AT42" s="1"/>
      <c r="AV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M42"/>
      <c r="CN42"/>
      <c r="CO42"/>
      <c r="CP42"/>
      <c r="CQ42"/>
      <c r="CR42"/>
    </row>
    <row r="43" spans="1:115">
      <c r="AG43" s="1"/>
      <c r="AH43" s="1"/>
      <c r="AI43" s="1"/>
      <c r="AJ43" s="1"/>
      <c r="AR43" s="1"/>
      <c r="AS43" s="1"/>
      <c r="AT43" s="1"/>
      <c r="AV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M43"/>
      <c r="CN43"/>
      <c r="CO43"/>
      <c r="CP43"/>
      <c r="CQ43"/>
      <c r="CR43"/>
    </row>
    <row r="44" spans="1:115">
      <c r="AG44" s="1"/>
      <c r="AH44" s="1"/>
      <c r="AI44" s="1"/>
      <c r="AJ44" s="1"/>
      <c r="AR44" s="1"/>
      <c r="AS44" s="1"/>
      <c r="AT44" s="1"/>
      <c r="AV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M44"/>
      <c r="CN44"/>
      <c r="CO44"/>
      <c r="CP44"/>
      <c r="CQ44"/>
      <c r="CR44"/>
    </row>
    <row r="45" spans="1:115">
      <c r="AG45" s="1"/>
      <c r="AH45" s="1"/>
      <c r="AI45" s="1"/>
      <c r="AJ45" s="1"/>
      <c r="AR45" s="1"/>
      <c r="AS45" s="1"/>
      <c r="AT45" s="1"/>
      <c r="AV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M45"/>
      <c r="CN45"/>
      <c r="CO45"/>
      <c r="CP45"/>
      <c r="CQ45"/>
      <c r="CR45"/>
    </row>
    <row r="46" spans="1:115">
      <c r="AG46" s="1"/>
      <c r="AH46" s="1"/>
      <c r="AI46" s="1"/>
      <c r="AJ46" s="1"/>
      <c r="AR46" s="1"/>
      <c r="AS46" s="1"/>
      <c r="AT46" s="1"/>
      <c r="AV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M46"/>
      <c r="CN46"/>
      <c r="CO46"/>
      <c r="CP46"/>
      <c r="CQ46"/>
      <c r="CR46"/>
    </row>
    <row r="47" spans="1:115">
      <c r="AG47" s="1"/>
      <c r="AH47" s="1"/>
      <c r="AI47" s="1"/>
      <c r="AJ47" s="1"/>
      <c r="AR47" s="1"/>
      <c r="AS47" s="1"/>
      <c r="AT47" s="1"/>
      <c r="AV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M47"/>
      <c r="CN47"/>
      <c r="CO47"/>
      <c r="CP47"/>
      <c r="CQ47"/>
      <c r="CR47"/>
    </row>
    <row r="48" spans="1:115">
      <c r="AG48" s="1"/>
      <c r="AH48" s="1"/>
      <c r="AI48" s="1"/>
      <c r="AJ48" s="1"/>
      <c r="AR48" s="1"/>
      <c r="AS48" s="1"/>
      <c r="AT48" s="1"/>
      <c r="AV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M48"/>
      <c r="CN48"/>
      <c r="CO48"/>
      <c r="CP48"/>
      <c r="CQ48"/>
      <c r="CR48"/>
    </row>
    <row r="49" spans="33:96">
      <c r="AG49" s="1"/>
      <c r="AH49" s="1"/>
      <c r="AI49" s="1"/>
      <c r="AJ49" s="1"/>
      <c r="AR49" s="1"/>
      <c r="AS49" s="1"/>
      <c r="AT49" s="1"/>
      <c r="AV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M49"/>
      <c r="CN49"/>
      <c r="CO49"/>
      <c r="CP49"/>
      <c r="CQ49"/>
      <c r="CR49"/>
    </row>
    <row r="50" spans="33:96">
      <c r="AG50" s="1"/>
      <c r="AH50" s="1"/>
      <c r="AI50" s="1"/>
      <c r="AJ50" s="1"/>
      <c r="AR50" s="1"/>
      <c r="AS50" s="1"/>
      <c r="AT50" s="1"/>
      <c r="AV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M50"/>
      <c r="CN50"/>
      <c r="CO50"/>
      <c r="CP50"/>
      <c r="CQ50"/>
      <c r="CR50"/>
    </row>
    <row r="51" spans="33:96">
      <c r="AG51" s="1"/>
      <c r="AH51" s="1"/>
      <c r="AI51" s="1"/>
      <c r="AJ51" s="1"/>
      <c r="AR51" s="1"/>
      <c r="AS51" s="1"/>
      <c r="AT51" s="1"/>
      <c r="AV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M51"/>
      <c r="CN51"/>
      <c r="CO51"/>
      <c r="CP51"/>
      <c r="CQ51"/>
      <c r="CR51"/>
    </row>
    <row r="52" spans="33:96">
      <c r="AG52" s="1"/>
      <c r="AH52" s="1"/>
      <c r="AI52" s="1"/>
      <c r="AJ52" s="1"/>
      <c r="AR52" s="1"/>
      <c r="AS52" s="1"/>
      <c r="AT52" s="1"/>
      <c r="AV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M52"/>
      <c r="CN52"/>
      <c r="CO52"/>
      <c r="CP52"/>
      <c r="CQ52"/>
      <c r="CR52"/>
    </row>
    <row r="53" spans="33:96">
      <c r="AG53" s="1"/>
      <c r="AH53" s="1"/>
      <c r="AI53" s="1"/>
      <c r="AJ53" s="1"/>
      <c r="AR53" s="1"/>
      <c r="AS53" s="1"/>
      <c r="AT53" s="1"/>
      <c r="AV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M53"/>
      <c r="CN53"/>
      <c r="CO53"/>
      <c r="CP53"/>
      <c r="CQ53"/>
      <c r="CR53"/>
    </row>
    <row r="54" spans="33:96">
      <c r="AG54" s="1"/>
      <c r="AH54" s="1"/>
      <c r="AI54" s="1"/>
      <c r="AJ54" s="1"/>
      <c r="AR54" s="1"/>
      <c r="AS54" s="1"/>
      <c r="AT54" s="1"/>
      <c r="AV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M54"/>
      <c r="CN54"/>
      <c r="CO54"/>
      <c r="CP54"/>
      <c r="CQ54"/>
      <c r="CR54"/>
    </row>
    <row r="55" spans="33:96">
      <c r="AG55" s="1"/>
      <c r="AH55" s="1"/>
      <c r="AI55" s="1"/>
      <c r="AJ55" s="1"/>
      <c r="AR55" s="1"/>
      <c r="AS55" s="1"/>
      <c r="AT55" s="1"/>
      <c r="AV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M55"/>
      <c r="CN55"/>
      <c r="CO55"/>
      <c r="CP55"/>
      <c r="CQ55"/>
      <c r="CR55"/>
    </row>
    <row r="56" spans="33:96">
      <c r="AG56" s="1"/>
      <c r="AH56" s="1"/>
      <c r="AI56" s="1"/>
      <c r="AJ56" s="1"/>
      <c r="AR56" s="1"/>
      <c r="AS56" s="1"/>
      <c r="AT56" s="1"/>
      <c r="AV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M56"/>
      <c r="CN56"/>
      <c r="CO56"/>
      <c r="CP56"/>
      <c r="CQ56"/>
      <c r="CR56"/>
    </row>
    <row r="57" spans="33:96">
      <c r="AG57" s="1"/>
      <c r="AH57" s="1"/>
      <c r="AI57" s="1"/>
      <c r="AJ57" s="1"/>
      <c r="AR57" s="1"/>
      <c r="AS57" s="1"/>
      <c r="AT57" s="1"/>
      <c r="AV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M57"/>
      <c r="CN57"/>
      <c r="CO57"/>
      <c r="CP57"/>
      <c r="CQ57"/>
      <c r="CR57"/>
    </row>
    <row r="58" spans="33:96">
      <c r="AG58" s="1"/>
      <c r="AH58" s="1"/>
      <c r="AI58" s="1"/>
      <c r="AJ58" s="1"/>
      <c r="AR58" s="1"/>
      <c r="AS58" s="1"/>
      <c r="AT58" s="1"/>
      <c r="AV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M58"/>
      <c r="CN58"/>
      <c r="CO58"/>
      <c r="CP58"/>
      <c r="CQ58"/>
      <c r="CR58"/>
    </row>
    <row r="59" spans="33:96">
      <c r="AG59" s="1"/>
      <c r="AH59" s="1"/>
      <c r="AI59" s="1"/>
      <c r="AJ59" s="1"/>
      <c r="AR59" s="1"/>
      <c r="AS59" s="1"/>
      <c r="AT59" s="1"/>
      <c r="AV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M59"/>
      <c r="CN59"/>
      <c r="CO59"/>
      <c r="CP59"/>
      <c r="CQ59"/>
      <c r="CR59"/>
    </row>
    <row r="60" spans="33:96">
      <c r="AG60" s="1"/>
      <c r="AH60" s="1"/>
      <c r="AI60" s="1"/>
      <c r="AJ60" s="1"/>
      <c r="AR60" s="1"/>
      <c r="AS60" s="1"/>
      <c r="AT60" s="1"/>
      <c r="AV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M60"/>
      <c r="CN60"/>
      <c r="CO60"/>
      <c r="CP60"/>
      <c r="CQ60"/>
      <c r="CR60"/>
    </row>
    <row r="61" spans="33:96">
      <c r="AG61" s="1"/>
      <c r="AH61" s="1"/>
      <c r="AI61" s="1"/>
      <c r="AJ61" s="1"/>
      <c r="AR61" s="1"/>
      <c r="AS61" s="1"/>
      <c r="AT61" s="1"/>
      <c r="AV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M61"/>
      <c r="CN61"/>
      <c r="CO61"/>
      <c r="CP61"/>
      <c r="CQ61"/>
      <c r="CR61"/>
    </row>
    <row r="62" spans="33:96">
      <c r="AG62" s="1"/>
      <c r="AH62" s="1"/>
      <c r="AI62" s="1"/>
      <c r="AJ62" s="1"/>
      <c r="AR62" s="1"/>
      <c r="AS62" s="1"/>
      <c r="AT62" s="1"/>
      <c r="AV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M62"/>
      <c r="CN62"/>
      <c r="CO62"/>
      <c r="CP62"/>
      <c r="CQ62"/>
      <c r="CR62"/>
    </row>
    <row r="63" spans="33:96">
      <c r="AG63" s="1"/>
      <c r="AH63" s="1"/>
      <c r="AI63" s="1"/>
      <c r="AJ63" s="1"/>
      <c r="AR63" s="1"/>
      <c r="AS63" s="1"/>
      <c r="AT63" s="1"/>
      <c r="AV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M63"/>
      <c r="CN63"/>
      <c r="CO63"/>
      <c r="CP63"/>
      <c r="CQ63"/>
      <c r="CR63"/>
    </row>
    <row r="64" spans="33:96">
      <c r="AG64" s="1"/>
      <c r="AH64" s="1"/>
      <c r="AI64" s="1"/>
      <c r="AJ64" s="1"/>
      <c r="AR64" s="1"/>
      <c r="AS64" s="1"/>
      <c r="AT64" s="1"/>
      <c r="AV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M64"/>
      <c r="CN64"/>
      <c r="CO64"/>
      <c r="CP64"/>
      <c r="CQ64"/>
      <c r="CR64"/>
    </row>
    <row r="65" spans="33:96">
      <c r="AG65" s="1"/>
      <c r="AH65" s="1"/>
      <c r="AI65" s="1"/>
      <c r="AJ65" s="1"/>
      <c r="AR65" s="1"/>
      <c r="AS65" s="1"/>
      <c r="AT65" s="1"/>
      <c r="AV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M65"/>
      <c r="CN65"/>
      <c r="CO65"/>
      <c r="CP65"/>
      <c r="CQ65"/>
      <c r="CR65"/>
    </row>
    <row r="66" spans="33:96">
      <c r="AG66" s="1"/>
      <c r="AH66" s="1"/>
      <c r="AI66" s="1"/>
      <c r="AJ66" s="1"/>
      <c r="AR66" s="1"/>
      <c r="AS66" s="1"/>
      <c r="AT66" s="1"/>
      <c r="AV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M66"/>
      <c r="CN66"/>
      <c r="CO66"/>
      <c r="CP66"/>
      <c r="CQ66"/>
      <c r="CR66"/>
    </row>
    <row r="67" spans="33:96">
      <c r="AG67" s="1"/>
      <c r="AH67" s="1"/>
      <c r="AI67" s="1"/>
      <c r="AJ67" s="1"/>
      <c r="AR67" s="1"/>
      <c r="AS67" s="1"/>
      <c r="AT67" s="1"/>
      <c r="AV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M67"/>
      <c r="CN67"/>
      <c r="CO67"/>
      <c r="CP67"/>
      <c r="CQ67"/>
      <c r="CR67"/>
    </row>
    <row r="68" spans="33:96">
      <c r="AG68" s="1"/>
      <c r="AH68" s="1"/>
      <c r="AI68" s="1"/>
      <c r="AJ68" s="1"/>
      <c r="AR68" s="1"/>
      <c r="AS68" s="1"/>
      <c r="AT68" s="1"/>
      <c r="AV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M68"/>
      <c r="CN68"/>
      <c r="CO68"/>
      <c r="CP68"/>
      <c r="CQ68"/>
      <c r="CR68"/>
    </row>
    <row r="69" spans="33:96">
      <c r="AG69" s="1"/>
      <c r="AH69" s="1"/>
      <c r="AI69" s="1"/>
      <c r="AJ69" s="1"/>
      <c r="AR69" s="1"/>
      <c r="AS69" s="1"/>
      <c r="AT69" s="1"/>
      <c r="AV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M69"/>
      <c r="CN69"/>
      <c r="CO69"/>
      <c r="CP69"/>
      <c r="CQ69"/>
      <c r="CR69"/>
    </row>
    <row r="70" spans="33:96">
      <c r="AG70" s="1"/>
      <c r="AH70" s="1"/>
      <c r="AI70" s="1"/>
      <c r="AJ70" s="1"/>
      <c r="AR70" s="1"/>
      <c r="AS70" s="1"/>
      <c r="AT70" s="1"/>
      <c r="AV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M70"/>
      <c r="CN70"/>
      <c r="CO70"/>
      <c r="CP70"/>
      <c r="CQ70"/>
      <c r="CR70"/>
    </row>
    <row r="71" spans="33:96">
      <c r="AG71" s="1"/>
      <c r="AH71" s="1"/>
      <c r="AI71" s="1"/>
      <c r="AJ71" s="1"/>
      <c r="AR71" s="1"/>
      <c r="AS71" s="1"/>
      <c r="AT71" s="1"/>
      <c r="AV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M71"/>
      <c r="CN71"/>
      <c r="CO71"/>
      <c r="CP71"/>
      <c r="CQ71"/>
      <c r="CR71"/>
    </row>
    <row r="72" spans="33:96">
      <c r="AG72" s="1"/>
      <c r="AH72" s="1"/>
      <c r="AI72" s="1"/>
      <c r="AJ72" s="1"/>
      <c r="AR72" s="1"/>
      <c r="AS72" s="1"/>
      <c r="AT72" s="1"/>
      <c r="AV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M72"/>
      <c r="CN72"/>
      <c r="CO72"/>
      <c r="CP72"/>
      <c r="CQ72"/>
      <c r="CR72"/>
    </row>
    <row r="73" spans="33:96">
      <c r="AG73" s="1"/>
      <c r="AH73" s="1"/>
      <c r="AI73" s="1"/>
      <c r="AJ73" s="1"/>
      <c r="AR73" s="1"/>
      <c r="AS73" s="1"/>
      <c r="AT73" s="1"/>
      <c r="AV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M73"/>
      <c r="CN73"/>
      <c r="CO73"/>
      <c r="CP73"/>
      <c r="CQ73"/>
      <c r="CR73"/>
    </row>
    <row r="74" spans="33:96">
      <c r="AG74" s="1"/>
      <c r="AH74" s="1"/>
      <c r="AI74" s="1"/>
      <c r="AJ74" s="1"/>
      <c r="AR74" s="1"/>
      <c r="AS74" s="1"/>
      <c r="AT74" s="1"/>
      <c r="AV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M74"/>
      <c r="CN74"/>
      <c r="CO74"/>
      <c r="CP74"/>
      <c r="CQ74"/>
      <c r="CR74"/>
    </row>
    <row r="75" spans="33:96">
      <c r="AG75" s="1"/>
      <c r="AH75" s="1"/>
      <c r="AI75" s="1"/>
      <c r="AJ75" s="1"/>
      <c r="AR75" s="1"/>
      <c r="AS75" s="1"/>
      <c r="AT75" s="1"/>
      <c r="AV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M75"/>
      <c r="CN75"/>
      <c r="CO75"/>
      <c r="CP75"/>
      <c r="CQ75"/>
      <c r="CR75"/>
    </row>
    <row r="76" spans="33:96">
      <c r="AG76" s="1"/>
      <c r="AH76" s="1"/>
      <c r="AI76" s="1"/>
      <c r="AJ76" s="1"/>
      <c r="AR76" s="1"/>
      <c r="AS76" s="1"/>
      <c r="AT76" s="1"/>
      <c r="AV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M76"/>
      <c r="CN76"/>
      <c r="CO76"/>
      <c r="CP76"/>
      <c r="CQ76"/>
      <c r="CR76"/>
    </row>
    <row r="77" spans="33:96">
      <c r="AG77" s="1"/>
      <c r="AH77" s="1"/>
      <c r="AI77" s="1"/>
      <c r="AJ77" s="1"/>
      <c r="AR77" s="1"/>
      <c r="AS77" s="1"/>
      <c r="AT77" s="1"/>
      <c r="AV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M77"/>
      <c r="CN77"/>
      <c r="CO77"/>
      <c r="CP77"/>
      <c r="CQ77"/>
      <c r="CR77"/>
    </row>
    <row r="78" spans="33:96">
      <c r="AG78" s="1"/>
      <c r="AH78" s="1"/>
      <c r="AI78" s="1"/>
      <c r="AJ78" s="1"/>
      <c r="AR78" s="1"/>
      <c r="AS78" s="1"/>
      <c r="AT78" s="1"/>
      <c r="AV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M78"/>
      <c r="CN78"/>
      <c r="CO78"/>
      <c r="CP78"/>
      <c r="CQ78"/>
      <c r="CR78"/>
    </row>
    <row r="79" spans="33:96">
      <c r="AG79" s="1"/>
      <c r="AH79" s="1"/>
      <c r="AI79" s="1"/>
      <c r="AJ79" s="1"/>
      <c r="AR79" s="1"/>
      <c r="AS79" s="1"/>
      <c r="AT79" s="1"/>
      <c r="AV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M79"/>
      <c r="CN79"/>
      <c r="CO79"/>
      <c r="CP79"/>
      <c r="CQ79"/>
      <c r="CR79"/>
    </row>
    <row r="80" spans="33:96">
      <c r="AG80" s="1"/>
      <c r="AH80" s="1"/>
      <c r="AI80" s="1"/>
      <c r="AJ80" s="1"/>
      <c r="AR80" s="1"/>
      <c r="AS80" s="1"/>
      <c r="AT80" s="1"/>
      <c r="AV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M80"/>
      <c r="CN80"/>
      <c r="CO80"/>
      <c r="CP80"/>
      <c r="CQ80"/>
      <c r="CR80"/>
    </row>
    <row r="81" spans="33:96">
      <c r="AG81" s="1"/>
      <c r="AH81" s="1"/>
      <c r="AI81" s="1"/>
      <c r="AJ81" s="1"/>
      <c r="AR81" s="1"/>
      <c r="AS81" s="1"/>
      <c r="AT81" s="1"/>
      <c r="AV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M81"/>
      <c r="CN81"/>
      <c r="CO81"/>
      <c r="CP81"/>
      <c r="CQ81"/>
      <c r="CR81"/>
    </row>
    <row r="82" spans="33:96">
      <c r="AG82" s="1"/>
      <c r="AH82" s="1"/>
      <c r="AI82" s="1"/>
      <c r="AJ82" s="1"/>
      <c r="AR82" s="1"/>
      <c r="AS82" s="1"/>
      <c r="AT82" s="1"/>
      <c r="AV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M82"/>
      <c r="CN82"/>
      <c r="CO82"/>
      <c r="CP82"/>
      <c r="CQ82"/>
      <c r="CR82"/>
    </row>
    <row r="83" spans="33:96">
      <c r="AG83" s="1"/>
      <c r="AH83" s="1"/>
      <c r="AI83" s="1"/>
      <c r="AJ83" s="1"/>
      <c r="AR83" s="1"/>
      <c r="AS83" s="1"/>
      <c r="AT83" s="1"/>
      <c r="AV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M83"/>
      <c r="CN83"/>
      <c r="CO83"/>
      <c r="CP83"/>
      <c r="CQ83"/>
      <c r="CR83"/>
    </row>
    <row r="84" spans="33:96">
      <c r="AG84" s="1"/>
      <c r="AH84" s="1"/>
      <c r="AI84" s="1"/>
      <c r="AJ84" s="1"/>
      <c r="AR84" s="1"/>
      <c r="AS84" s="1"/>
      <c r="AT84" s="1"/>
      <c r="AV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M84"/>
      <c r="CN84"/>
      <c r="CO84"/>
      <c r="CP84"/>
      <c r="CQ84"/>
      <c r="CR84"/>
    </row>
    <row r="85" spans="33:96">
      <c r="AG85" s="1"/>
      <c r="AH85" s="1"/>
      <c r="AI85" s="1"/>
      <c r="AJ85" s="1"/>
      <c r="AR85" s="1"/>
      <c r="AS85" s="1"/>
      <c r="AT85" s="1"/>
      <c r="AV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M85"/>
      <c r="CN85"/>
      <c r="CO85"/>
      <c r="CP85"/>
      <c r="CQ85"/>
      <c r="CR85"/>
    </row>
    <row r="86" spans="33:96">
      <c r="AG86" s="1"/>
      <c r="AH86" s="1"/>
      <c r="AI86" s="1"/>
      <c r="AJ86" s="1"/>
      <c r="AR86" s="1"/>
      <c r="AS86" s="1"/>
      <c r="AT86" s="1"/>
      <c r="AV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M86"/>
      <c r="CN86"/>
      <c r="CO86"/>
      <c r="CP86"/>
      <c r="CQ86"/>
      <c r="CR86"/>
    </row>
    <row r="87" spans="33:96">
      <c r="AG87" s="1"/>
      <c r="AH87" s="1"/>
      <c r="AI87" s="1"/>
      <c r="AJ87" s="1"/>
      <c r="AR87" s="1"/>
      <c r="AS87" s="1"/>
      <c r="AT87" s="1"/>
      <c r="AV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M87"/>
      <c r="CN87"/>
      <c r="CO87"/>
      <c r="CP87"/>
      <c r="CQ87"/>
      <c r="CR87"/>
    </row>
    <row r="88" spans="33:96">
      <c r="AG88" s="1"/>
      <c r="AH88" s="1"/>
      <c r="AI88" s="1"/>
      <c r="AJ88" s="1"/>
      <c r="AR88" s="1"/>
      <c r="AS88" s="1"/>
      <c r="AT88" s="1"/>
      <c r="AV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M88"/>
      <c r="CN88"/>
      <c r="CO88"/>
      <c r="CP88"/>
      <c r="CQ88"/>
      <c r="CR88"/>
    </row>
    <row r="89" spans="33:96">
      <c r="AG89" s="1"/>
      <c r="AH89" s="1"/>
      <c r="AI89" s="1"/>
      <c r="AJ89" s="1"/>
      <c r="AR89" s="1"/>
      <c r="AS89" s="1"/>
      <c r="AT89" s="1"/>
      <c r="AV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M89"/>
      <c r="CN89"/>
      <c r="CO89"/>
      <c r="CP89"/>
      <c r="CQ89"/>
      <c r="CR89"/>
    </row>
    <row r="90" spans="33:96">
      <c r="AG90" s="1"/>
      <c r="AH90" s="1"/>
      <c r="AI90" s="1"/>
      <c r="AJ90" s="1"/>
      <c r="AR90" s="1"/>
      <c r="AS90" s="1"/>
      <c r="AT90" s="1"/>
      <c r="AV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M90"/>
      <c r="CN90"/>
      <c r="CO90"/>
      <c r="CP90"/>
      <c r="CQ90"/>
      <c r="CR90"/>
    </row>
    <row r="91" spans="33:96">
      <c r="AG91" s="1"/>
      <c r="AH91" s="1"/>
      <c r="AI91" s="1"/>
      <c r="AJ91" s="1"/>
      <c r="AR91" s="1"/>
      <c r="AS91" s="1"/>
      <c r="AT91" s="1"/>
      <c r="AV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M91"/>
      <c r="CN91"/>
      <c r="CO91"/>
      <c r="CP91"/>
      <c r="CQ91"/>
      <c r="CR91"/>
    </row>
    <row r="92" spans="33:96">
      <c r="AG92" s="1"/>
      <c r="AH92" s="1"/>
      <c r="AI92" s="1"/>
      <c r="AJ92" s="1"/>
      <c r="AR92" s="1"/>
      <c r="AS92" s="1"/>
      <c r="AT92" s="1"/>
      <c r="AV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M92"/>
      <c r="CN92"/>
      <c r="CO92"/>
      <c r="CP92"/>
      <c r="CQ92"/>
      <c r="CR92"/>
    </row>
    <row r="93" spans="33:96">
      <c r="AG93" s="1"/>
      <c r="AH93" s="1"/>
      <c r="AI93" s="1"/>
      <c r="AJ93" s="1"/>
      <c r="AR93" s="1"/>
      <c r="AS93" s="1"/>
      <c r="AT93" s="1"/>
      <c r="AV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M93"/>
      <c r="CN93"/>
      <c r="CO93"/>
      <c r="CP93"/>
      <c r="CQ93"/>
      <c r="CR93"/>
    </row>
    <row r="94" spans="33:96">
      <c r="AG94" s="1"/>
      <c r="AH94" s="1"/>
      <c r="AI94" s="1"/>
      <c r="AJ94" s="1"/>
      <c r="AR94" s="1"/>
      <c r="AS94" s="1"/>
      <c r="AT94" s="1"/>
      <c r="AV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M94"/>
      <c r="CN94"/>
      <c r="CO94"/>
      <c r="CP94"/>
      <c r="CQ94"/>
      <c r="CR94"/>
    </row>
    <row r="95" spans="33:96">
      <c r="AG95" s="1"/>
      <c r="AH95" s="1"/>
      <c r="AI95" s="1"/>
      <c r="AJ95" s="1"/>
      <c r="AR95" s="1"/>
      <c r="AS95" s="1"/>
      <c r="AT95" s="1"/>
      <c r="AV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M95"/>
      <c r="CN95"/>
      <c r="CO95"/>
      <c r="CP95"/>
      <c r="CQ95"/>
      <c r="CR95"/>
    </row>
    <row r="96" spans="33:96">
      <c r="AG96" s="1"/>
      <c r="AH96" s="1"/>
      <c r="AI96" s="1"/>
      <c r="AJ96" s="1"/>
      <c r="AR96" s="1"/>
      <c r="AS96" s="1"/>
      <c r="AT96" s="1"/>
      <c r="AV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M96"/>
      <c r="CN96"/>
      <c r="CO96"/>
      <c r="CP96"/>
      <c r="CQ96"/>
      <c r="CR96"/>
    </row>
    <row r="97" spans="33:96">
      <c r="AG97" s="1"/>
      <c r="AH97" s="1"/>
      <c r="AI97" s="1"/>
      <c r="AJ97" s="1"/>
      <c r="AR97" s="1"/>
      <c r="AS97" s="1"/>
      <c r="AT97" s="1"/>
      <c r="AV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M97"/>
      <c r="CN97"/>
      <c r="CO97"/>
      <c r="CP97"/>
      <c r="CQ97"/>
      <c r="CR97"/>
    </row>
    <row r="98" spans="33:96">
      <c r="AG98" s="1"/>
      <c r="AH98" s="1"/>
      <c r="AI98" s="1"/>
      <c r="AJ98" s="1"/>
      <c r="AR98" s="1"/>
      <c r="AS98" s="1"/>
      <c r="AT98" s="1"/>
      <c r="AV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M98"/>
      <c r="CN98"/>
      <c r="CO98"/>
      <c r="CP98"/>
      <c r="CQ98"/>
      <c r="CR98"/>
    </row>
    <row r="99" spans="33:96">
      <c r="AG99" s="1"/>
      <c r="AH99" s="1"/>
      <c r="AI99" s="1"/>
      <c r="AJ99" s="1"/>
      <c r="AR99" s="1"/>
      <c r="AS99" s="1"/>
      <c r="AT99" s="1"/>
      <c r="AV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M99"/>
      <c r="CN99"/>
      <c r="CO99"/>
      <c r="CP99"/>
      <c r="CQ99"/>
      <c r="CR99"/>
    </row>
    <row r="100" spans="33:96">
      <c r="AG100" s="1"/>
      <c r="AH100" s="1"/>
      <c r="AI100" s="1"/>
      <c r="AJ100" s="1"/>
      <c r="AR100" s="1"/>
      <c r="AS100" s="1"/>
      <c r="AT100" s="1"/>
      <c r="AV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M100"/>
      <c r="CN100"/>
      <c r="CO100"/>
      <c r="CP100"/>
      <c r="CQ100"/>
      <c r="CR100"/>
    </row>
    <row r="101" spans="33:96">
      <c r="AG101" s="1"/>
      <c r="AH101" s="1"/>
      <c r="AI101" s="1"/>
      <c r="AJ101" s="1"/>
      <c r="AR101" s="1"/>
      <c r="AS101" s="1"/>
      <c r="AT101" s="1"/>
      <c r="AV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M101"/>
      <c r="CN101"/>
      <c r="CO101"/>
      <c r="CP101"/>
      <c r="CQ101"/>
      <c r="CR101"/>
    </row>
    <row r="102" spans="33:96">
      <c r="AG102" s="1"/>
      <c r="AH102" s="1"/>
      <c r="AI102" s="1"/>
      <c r="AJ102" s="1"/>
      <c r="AR102" s="1"/>
      <c r="AS102" s="1"/>
      <c r="AT102" s="1"/>
      <c r="AV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M102"/>
      <c r="CN102"/>
      <c r="CO102"/>
      <c r="CP102"/>
      <c r="CQ102"/>
      <c r="CR102"/>
    </row>
    <row r="103" spans="33:96">
      <c r="AG103" s="1"/>
      <c r="AH103" s="1"/>
      <c r="AI103" s="1"/>
      <c r="AJ103" s="1"/>
      <c r="AR103" s="1"/>
      <c r="AS103" s="1"/>
      <c r="AT103" s="1"/>
      <c r="AV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M103"/>
      <c r="CN103"/>
      <c r="CO103"/>
      <c r="CP103"/>
      <c r="CQ103"/>
      <c r="CR103"/>
    </row>
    <row r="104" spans="33:96">
      <c r="AG104" s="1"/>
      <c r="AH104" s="1"/>
      <c r="AI104" s="1"/>
      <c r="AJ104" s="1"/>
      <c r="AR104" s="1"/>
      <c r="AS104" s="1"/>
      <c r="AT104" s="1"/>
      <c r="AV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M104"/>
      <c r="CN104"/>
      <c r="CO104"/>
      <c r="CP104"/>
      <c r="CQ104"/>
      <c r="CR104"/>
    </row>
    <row r="105" spans="33:96">
      <c r="AG105" s="1"/>
      <c r="AH105" s="1"/>
      <c r="AI105" s="1"/>
      <c r="AJ105" s="1"/>
      <c r="AR105" s="1"/>
      <c r="AS105" s="1"/>
      <c r="AT105" s="1"/>
      <c r="AV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M105"/>
      <c r="CN105"/>
      <c r="CO105"/>
      <c r="CP105"/>
      <c r="CQ105"/>
      <c r="CR105"/>
    </row>
    <row r="106" spans="33:96">
      <c r="AG106" s="1"/>
      <c r="AH106" s="1"/>
      <c r="AI106" s="1"/>
      <c r="AJ106" s="1"/>
      <c r="AR106" s="1"/>
      <c r="AS106" s="1"/>
      <c r="AT106" s="1"/>
      <c r="AV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M106"/>
      <c r="CN106"/>
      <c r="CO106"/>
      <c r="CP106"/>
      <c r="CQ106"/>
      <c r="CR106"/>
    </row>
    <row r="107" spans="33:96">
      <c r="AG107" s="1"/>
      <c r="AH107" s="1"/>
      <c r="AI107" s="1"/>
      <c r="AJ107" s="1"/>
      <c r="AR107" s="1"/>
      <c r="AS107" s="1"/>
      <c r="AT107" s="1"/>
      <c r="AV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M107"/>
      <c r="CN107"/>
      <c r="CO107"/>
      <c r="CP107"/>
      <c r="CQ107"/>
      <c r="CR107"/>
    </row>
    <row r="108" spans="33:96">
      <c r="AG108" s="1"/>
      <c r="AH108" s="1"/>
      <c r="AI108" s="1"/>
      <c r="AJ108" s="1"/>
      <c r="AR108" s="1"/>
      <c r="AS108" s="1"/>
      <c r="AT108" s="1"/>
      <c r="AV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M108"/>
      <c r="CN108"/>
      <c r="CO108"/>
      <c r="CP108"/>
      <c r="CQ108"/>
      <c r="CR108"/>
    </row>
    <row r="109" spans="33:96">
      <c r="AG109" s="1"/>
      <c r="AH109" s="1"/>
      <c r="AI109" s="1"/>
      <c r="AJ109" s="1"/>
      <c r="AR109" s="1"/>
      <c r="AS109" s="1"/>
      <c r="AT109" s="1"/>
      <c r="AV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M109"/>
      <c r="CN109"/>
      <c r="CO109"/>
      <c r="CP109"/>
      <c r="CQ109"/>
      <c r="CR109"/>
    </row>
    <row r="110" spans="33:96">
      <c r="AG110" s="1"/>
      <c r="AH110" s="1"/>
      <c r="AI110" s="1"/>
      <c r="AJ110" s="1"/>
      <c r="AR110" s="1"/>
      <c r="AS110" s="1"/>
      <c r="AT110" s="1"/>
      <c r="AV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M110"/>
      <c r="CN110"/>
      <c r="CO110"/>
      <c r="CP110"/>
      <c r="CQ110"/>
      <c r="CR110"/>
    </row>
    <row r="111" spans="33:96">
      <c r="AG111" s="1"/>
      <c r="AH111" s="1"/>
      <c r="AI111" s="1"/>
      <c r="AJ111" s="1"/>
      <c r="AR111" s="1"/>
      <c r="AS111" s="1"/>
      <c r="AT111" s="1"/>
      <c r="AV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M111"/>
      <c r="CN111"/>
      <c r="CO111"/>
      <c r="CP111"/>
      <c r="CQ111"/>
      <c r="CR111"/>
    </row>
    <row r="112" spans="33:96">
      <c r="AG112" s="1"/>
      <c r="AH112" s="1"/>
      <c r="AI112" s="1"/>
      <c r="AJ112" s="1"/>
      <c r="AR112" s="1"/>
      <c r="AS112" s="1"/>
      <c r="AT112" s="1"/>
      <c r="AV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M112"/>
      <c r="CN112"/>
      <c r="CO112"/>
      <c r="CP112"/>
      <c r="CQ112"/>
      <c r="CR112"/>
    </row>
    <row r="113" spans="33:96">
      <c r="AG113" s="1"/>
      <c r="AH113" s="1"/>
      <c r="AI113" s="1"/>
      <c r="AJ113" s="1"/>
      <c r="AR113" s="1"/>
      <c r="AS113" s="1"/>
      <c r="AT113" s="1"/>
      <c r="AV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M113"/>
      <c r="CN113"/>
      <c r="CO113"/>
      <c r="CP113"/>
      <c r="CQ113"/>
      <c r="CR113"/>
    </row>
    <row r="114" spans="33:96">
      <c r="AG114" s="1"/>
      <c r="AH114" s="1"/>
      <c r="AI114" s="1"/>
      <c r="AJ114" s="1"/>
      <c r="AR114" s="1"/>
      <c r="AS114" s="1"/>
      <c r="AT114" s="1"/>
      <c r="AV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M114"/>
      <c r="CN114"/>
      <c r="CO114"/>
      <c r="CP114"/>
      <c r="CQ114"/>
      <c r="CR114"/>
    </row>
    <row r="115" spans="33:96">
      <c r="AG115" s="1"/>
      <c r="AH115" s="1"/>
      <c r="AI115" s="1"/>
      <c r="AJ115" s="1"/>
      <c r="AR115" s="1"/>
      <c r="AS115" s="1"/>
      <c r="AT115" s="1"/>
      <c r="AV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M115"/>
      <c r="CN115"/>
      <c r="CO115"/>
      <c r="CP115"/>
      <c r="CQ115"/>
      <c r="CR115"/>
    </row>
    <row r="116" spans="33:96">
      <c r="AG116" s="1"/>
      <c r="AH116" s="1"/>
      <c r="AI116" s="1"/>
      <c r="AJ116" s="1"/>
      <c r="AR116" s="1"/>
      <c r="AS116" s="1"/>
      <c r="AT116" s="1"/>
      <c r="AV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M116"/>
      <c r="CN116"/>
      <c r="CO116"/>
      <c r="CP116"/>
      <c r="CQ116"/>
      <c r="CR116"/>
    </row>
    <row r="117" spans="33:96">
      <c r="AG117" s="1"/>
      <c r="AH117" s="1"/>
      <c r="AI117" s="1"/>
      <c r="AJ117" s="1"/>
      <c r="AR117" s="1"/>
      <c r="AS117" s="1"/>
      <c r="AT117" s="1"/>
      <c r="AV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M117"/>
      <c r="CN117"/>
      <c r="CO117"/>
      <c r="CP117"/>
      <c r="CQ117"/>
      <c r="CR117"/>
    </row>
    <row r="118" spans="33:96">
      <c r="AG118" s="1"/>
      <c r="AH118" s="1"/>
      <c r="AI118" s="1"/>
      <c r="AJ118" s="1"/>
      <c r="AR118" s="1"/>
      <c r="AS118" s="1"/>
      <c r="AT118" s="1"/>
      <c r="AV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M118"/>
      <c r="CN118"/>
      <c r="CO118"/>
      <c r="CP118"/>
      <c r="CQ118"/>
      <c r="CR118"/>
    </row>
    <row r="119" spans="33:96">
      <c r="AG119" s="1"/>
      <c r="AH119" s="1"/>
      <c r="AI119" s="1"/>
      <c r="AJ119" s="1"/>
      <c r="AR119" s="1"/>
      <c r="AS119" s="1"/>
      <c r="AT119" s="1"/>
      <c r="AV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M119"/>
      <c r="CN119"/>
      <c r="CO119"/>
      <c r="CP119"/>
      <c r="CQ119"/>
      <c r="CR119"/>
    </row>
    <row r="120" spans="33:96">
      <c r="AG120" s="1"/>
      <c r="AH120" s="1"/>
      <c r="AI120" s="1"/>
      <c r="AJ120" s="1"/>
      <c r="AR120" s="1"/>
      <c r="AS120" s="1"/>
      <c r="AT120" s="1"/>
      <c r="AV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M120"/>
      <c r="CN120"/>
      <c r="CO120"/>
      <c r="CP120"/>
      <c r="CQ120"/>
      <c r="CR120"/>
    </row>
    <row r="121" spans="33:96">
      <c r="AG121" s="1"/>
      <c r="AH121" s="1"/>
      <c r="AI121" s="1"/>
      <c r="AJ121" s="1"/>
      <c r="AR121" s="1"/>
      <c r="AS121" s="1"/>
      <c r="AT121" s="1"/>
      <c r="AV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M121"/>
      <c r="CN121"/>
      <c r="CO121"/>
      <c r="CP121"/>
      <c r="CQ121"/>
      <c r="CR121"/>
    </row>
    <row r="122" spans="33:96">
      <c r="AG122" s="1"/>
      <c r="AH122" s="1"/>
      <c r="AI122" s="1"/>
      <c r="AJ122" s="1"/>
      <c r="AR122" s="1"/>
      <c r="AS122" s="1"/>
      <c r="AT122" s="1"/>
      <c r="AV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M122"/>
      <c r="CN122"/>
      <c r="CO122"/>
      <c r="CP122"/>
      <c r="CQ122"/>
      <c r="CR122"/>
    </row>
    <row r="123" spans="33:96">
      <c r="AG123" s="1"/>
      <c r="AH123" s="1"/>
      <c r="AI123" s="1"/>
      <c r="AJ123" s="1"/>
      <c r="AR123" s="1"/>
      <c r="AS123" s="1"/>
      <c r="AT123" s="1"/>
      <c r="AV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M123"/>
      <c r="CN123"/>
      <c r="CO123"/>
      <c r="CP123"/>
      <c r="CQ123"/>
      <c r="CR123"/>
    </row>
    <row r="124" spans="33:96">
      <c r="AG124" s="1"/>
      <c r="AH124" s="1"/>
      <c r="AI124" s="1"/>
      <c r="AJ124" s="1"/>
      <c r="AR124" s="1"/>
      <c r="AS124" s="1"/>
      <c r="AT124" s="1"/>
      <c r="AV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M124"/>
      <c r="CN124"/>
      <c r="CO124"/>
      <c r="CP124"/>
      <c r="CQ124"/>
      <c r="CR124"/>
    </row>
    <row r="125" spans="33:96">
      <c r="AG125" s="1"/>
      <c r="AH125" s="1"/>
      <c r="AI125" s="1"/>
      <c r="AJ125" s="1"/>
      <c r="AR125" s="1"/>
      <c r="AS125" s="1"/>
      <c r="AT125" s="1"/>
      <c r="AV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M125"/>
      <c r="CN125"/>
      <c r="CO125"/>
      <c r="CP125"/>
      <c r="CQ125"/>
      <c r="CR125"/>
    </row>
    <row r="126" spans="33:96">
      <c r="AG126" s="1"/>
      <c r="AH126" s="1"/>
      <c r="AI126" s="1"/>
      <c r="AJ126" s="1"/>
      <c r="AR126" s="1"/>
      <c r="AS126" s="1"/>
      <c r="AT126" s="1"/>
      <c r="AV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M126"/>
      <c r="CN126"/>
      <c r="CO126"/>
      <c r="CP126"/>
      <c r="CQ126"/>
      <c r="CR126"/>
    </row>
    <row r="127" spans="33:96">
      <c r="AG127" s="1"/>
      <c r="AH127" s="1"/>
      <c r="AI127" s="1"/>
      <c r="AJ127" s="1"/>
      <c r="AR127" s="1"/>
      <c r="AS127" s="1"/>
      <c r="AT127" s="1"/>
      <c r="AV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M127"/>
      <c r="CN127"/>
      <c r="CO127"/>
      <c r="CP127"/>
      <c r="CQ127"/>
      <c r="CR127"/>
    </row>
    <row r="128" spans="33:96">
      <c r="AG128" s="1"/>
      <c r="AH128" s="1"/>
      <c r="AI128" s="1"/>
      <c r="AJ128" s="1"/>
      <c r="AR128" s="1"/>
      <c r="AS128" s="1"/>
      <c r="AT128" s="1"/>
      <c r="AV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M128"/>
      <c r="CN128"/>
      <c r="CO128"/>
      <c r="CP128"/>
      <c r="CQ128"/>
      <c r="CR128"/>
    </row>
    <row r="129" spans="33:96">
      <c r="AG129" s="1"/>
      <c r="AH129" s="1"/>
      <c r="AI129" s="1"/>
      <c r="AJ129" s="1"/>
      <c r="AR129" s="1"/>
      <c r="AS129" s="1"/>
      <c r="AT129" s="1"/>
      <c r="AV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M129"/>
      <c r="CN129"/>
      <c r="CO129"/>
      <c r="CP129"/>
      <c r="CQ129"/>
      <c r="CR129"/>
    </row>
    <row r="130" spans="33:96">
      <c r="AG130" s="1"/>
      <c r="AH130" s="1"/>
      <c r="AI130" s="1"/>
      <c r="AJ130" s="1"/>
      <c r="AR130" s="1"/>
      <c r="AS130" s="1"/>
      <c r="AT130" s="1"/>
      <c r="AV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M130"/>
      <c r="CN130"/>
      <c r="CO130"/>
      <c r="CP130"/>
      <c r="CQ130"/>
      <c r="CR130"/>
    </row>
    <row r="131" spans="33:96">
      <c r="AG131" s="1"/>
      <c r="AH131" s="1"/>
      <c r="AI131" s="1"/>
      <c r="AJ131" s="1"/>
      <c r="AR131" s="1"/>
      <c r="AS131" s="1"/>
      <c r="AT131" s="1"/>
      <c r="AV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M131"/>
      <c r="CN131"/>
      <c r="CO131"/>
      <c r="CP131"/>
      <c r="CQ131"/>
      <c r="CR131"/>
    </row>
    <row r="132" spans="33:96">
      <c r="AG132" s="1"/>
      <c r="AH132" s="1"/>
      <c r="AI132" s="1"/>
      <c r="AJ132" s="1"/>
      <c r="AR132" s="1"/>
      <c r="AS132" s="1"/>
      <c r="AT132" s="1"/>
      <c r="AV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M132"/>
      <c r="CN132"/>
      <c r="CO132"/>
      <c r="CP132"/>
      <c r="CQ132"/>
      <c r="CR132"/>
    </row>
    <row r="133" spans="33:96">
      <c r="AG133" s="1"/>
      <c r="AH133" s="1"/>
      <c r="AI133" s="1"/>
      <c r="AJ133" s="1"/>
      <c r="AR133" s="1"/>
      <c r="AS133" s="1"/>
      <c r="AT133" s="1"/>
      <c r="AV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M133"/>
      <c r="CN133"/>
      <c r="CO133"/>
      <c r="CP133"/>
      <c r="CQ133"/>
      <c r="CR133"/>
    </row>
    <row r="134" spans="33:96">
      <c r="AG134" s="1"/>
      <c r="AH134" s="1"/>
      <c r="AI134" s="1"/>
      <c r="AJ134" s="1"/>
      <c r="AR134" s="1"/>
      <c r="AS134" s="1"/>
      <c r="AT134" s="1"/>
      <c r="AV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M134"/>
      <c r="CN134"/>
      <c r="CO134"/>
      <c r="CP134"/>
      <c r="CQ134"/>
      <c r="CR134"/>
    </row>
    <row r="135" spans="33:96">
      <c r="AG135" s="1"/>
      <c r="AH135" s="1"/>
      <c r="AI135" s="1"/>
      <c r="AJ135" s="1"/>
      <c r="AR135" s="1"/>
      <c r="AS135" s="1"/>
      <c r="AT135" s="1"/>
      <c r="AV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M135"/>
      <c r="CN135"/>
      <c r="CO135"/>
      <c r="CP135"/>
      <c r="CQ135"/>
      <c r="CR135"/>
    </row>
    <row r="136" spans="33:96">
      <c r="AG136" s="1"/>
      <c r="AH136" s="1"/>
      <c r="AI136" s="1"/>
      <c r="AJ136" s="1"/>
      <c r="AR136" s="1"/>
      <c r="AS136" s="1"/>
      <c r="AT136" s="1"/>
      <c r="AV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M136"/>
      <c r="CN136"/>
      <c r="CO136"/>
      <c r="CP136"/>
      <c r="CQ136"/>
      <c r="CR136"/>
    </row>
    <row r="137" spans="33:96">
      <c r="AG137" s="1"/>
      <c r="AH137" s="1"/>
      <c r="AI137" s="1"/>
      <c r="AJ137" s="1"/>
      <c r="AR137" s="1"/>
      <c r="AS137" s="1"/>
      <c r="AT137" s="1"/>
      <c r="AV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M137"/>
      <c r="CN137"/>
      <c r="CO137"/>
      <c r="CP137"/>
      <c r="CQ137"/>
      <c r="CR137"/>
    </row>
    <row r="138" spans="33:96">
      <c r="AG138" s="1"/>
      <c r="AH138" s="1"/>
      <c r="AI138" s="1"/>
      <c r="AJ138" s="1"/>
      <c r="AR138" s="1"/>
      <c r="AS138" s="1"/>
      <c r="AT138" s="1"/>
      <c r="AV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M138"/>
      <c r="CN138"/>
      <c r="CO138"/>
      <c r="CP138"/>
      <c r="CQ138"/>
      <c r="CR138"/>
    </row>
    <row r="139" spans="33:96">
      <c r="AG139" s="1"/>
      <c r="AH139" s="1"/>
      <c r="AI139" s="1"/>
      <c r="AJ139" s="1"/>
      <c r="AR139" s="1"/>
      <c r="AS139" s="1"/>
      <c r="AT139" s="1"/>
      <c r="AV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M139"/>
      <c r="CN139"/>
      <c r="CO139"/>
      <c r="CP139"/>
      <c r="CQ139"/>
      <c r="CR139"/>
    </row>
    <row r="140" spans="33:96">
      <c r="AG140" s="1"/>
      <c r="AH140" s="1"/>
      <c r="AI140" s="1"/>
      <c r="AJ140" s="1"/>
      <c r="AR140" s="1"/>
      <c r="AS140" s="1"/>
      <c r="AT140" s="1"/>
      <c r="AV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M140"/>
      <c r="CN140"/>
      <c r="CO140"/>
      <c r="CP140"/>
      <c r="CQ140"/>
      <c r="CR140"/>
    </row>
    <row r="141" spans="33:96">
      <c r="AG141" s="1"/>
      <c r="AH141" s="1"/>
      <c r="AI141" s="1"/>
      <c r="AJ141" s="1"/>
      <c r="AR141" s="1"/>
      <c r="AS141" s="1"/>
      <c r="AT141" s="1"/>
      <c r="AV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M141"/>
      <c r="CN141"/>
      <c r="CO141"/>
      <c r="CP141"/>
      <c r="CQ141"/>
      <c r="CR141"/>
    </row>
    <row r="142" spans="33:96">
      <c r="AG142" s="1"/>
      <c r="AH142" s="1"/>
      <c r="AI142" s="1"/>
      <c r="AJ142" s="1"/>
      <c r="AR142" s="1"/>
      <c r="AS142" s="1"/>
      <c r="AT142" s="1"/>
      <c r="AV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M142"/>
      <c r="CN142"/>
      <c r="CO142"/>
      <c r="CP142"/>
      <c r="CQ142"/>
      <c r="CR142"/>
    </row>
    <row r="143" spans="33:96">
      <c r="AG143" s="1"/>
      <c r="AH143" s="1"/>
      <c r="AI143" s="1"/>
      <c r="AJ143" s="1"/>
      <c r="AR143" s="1"/>
      <c r="AS143" s="1"/>
      <c r="AT143" s="1"/>
      <c r="AV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M143"/>
      <c r="CN143"/>
      <c r="CO143"/>
      <c r="CP143"/>
      <c r="CQ143"/>
      <c r="CR143"/>
    </row>
    <row r="144" spans="33:96">
      <c r="AG144" s="1"/>
      <c r="AH144" s="1"/>
      <c r="AI144" s="1"/>
      <c r="AJ144" s="1"/>
      <c r="AR144" s="1"/>
      <c r="AS144" s="1"/>
      <c r="AT144" s="1"/>
      <c r="AV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M144"/>
      <c r="CN144"/>
      <c r="CO144"/>
      <c r="CP144"/>
      <c r="CQ144"/>
      <c r="CR144"/>
    </row>
    <row r="145" spans="33:96">
      <c r="AG145" s="1"/>
      <c r="AH145" s="1"/>
      <c r="AI145" s="1"/>
      <c r="AJ145" s="1"/>
      <c r="AR145" s="1"/>
      <c r="AS145" s="1"/>
      <c r="AT145" s="1"/>
      <c r="AV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M145"/>
      <c r="CN145"/>
      <c r="CO145"/>
      <c r="CP145"/>
      <c r="CQ145"/>
      <c r="CR145"/>
    </row>
    <row r="146" spans="33:96">
      <c r="AG146" s="1"/>
      <c r="AH146" s="1"/>
      <c r="AI146" s="1"/>
      <c r="AJ146" s="1"/>
      <c r="AR146" s="1"/>
      <c r="AS146" s="1"/>
      <c r="AT146" s="1"/>
      <c r="AV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M146"/>
      <c r="CN146"/>
      <c r="CO146"/>
      <c r="CP146"/>
      <c r="CQ146"/>
      <c r="CR146"/>
    </row>
    <row r="147" spans="33:96">
      <c r="AG147" s="1"/>
      <c r="AH147" s="1"/>
      <c r="AI147" s="1"/>
      <c r="AJ147" s="1"/>
      <c r="AR147" s="1"/>
      <c r="AS147" s="1"/>
      <c r="AT147" s="1"/>
      <c r="AV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M147"/>
      <c r="CN147"/>
      <c r="CO147"/>
      <c r="CP147"/>
      <c r="CQ147"/>
      <c r="CR147"/>
    </row>
    <row r="148" spans="33:96">
      <c r="AG148" s="1"/>
      <c r="AH148" s="1"/>
      <c r="AI148" s="1"/>
      <c r="AJ148" s="1"/>
      <c r="AR148" s="1"/>
      <c r="AS148" s="1"/>
      <c r="AT148" s="1"/>
      <c r="AV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M148"/>
      <c r="CN148"/>
      <c r="CO148"/>
      <c r="CP148"/>
      <c r="CQ148"/>
      <c r="CR148"/>
    </row>
    <row r="149" spans="33:96">
      <c r="AG149" s="1"/>
      <c r="AH149" s="1"/>
      <c r="AI149" s="1"/>
      <c r="AJ149" s="1"/>
      <c r="AR149" s="1"/>
      <c r="AS149" s="1"/>
      <c r="AT149" s="1"/>
      <c r="AV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M149"/>
      <c r="CN149"/>
      <c r="CO149"/>
      <c r="CP149"/>
      <c r="CQ149"/>
      <c r="CR149"/>
    </row>
    <row r="150" spans="33:96">
      <c r="AG150" s="1"/>
      <c r="AH150" s="1"/>
      <c r="AI150" s="1"/>
      <c r="AJ150" s="1"/>
      <c r="AR150" s="1"/>
      <c r="AS150" s="1"/>
      <c r="AT150" s="1"/>
      <c r="AV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M150"/>
      <c r="CN150"/>
      <c r="CO150"/>
      <c r="CP150"/>
      <c r="CQ150"/>
      <c r="CR150"/>
    </row>
    <row r="151" spans="33:96">
      <c r="AG151" s="1"/>
      <c r="AH151" s="1"/>
      <c r="AI151" s="1"/>
      <c r="AJ151" s="1"/>
      <c r="AR151" s="1"/>
      <c r="AS151" s="1"/>
      <c r="AT151" s="1"/>
      <c r="AV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M151"/>
      <c r="CN151"/>
      <c r="CO151"/>
      <c r="CP151"/>
      <c r="CQ151"/>
      <c r="CR151"/>
    </row>
    <row r="152" spans="33:96">
      <c r="AG152" s="1"/>
      <c r="AH152" s="1"/>
      <c r="AI152" s="1"/>
      <c r="AJ152" s="1"/>
      <c r="AR152" s="1"/>
      <c r="AS152" s="1"/>
      <c r="AT152" s="1"/>
      <c r="AV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M152"/>
      <c r="CN152"/>
      <c r="CO152"/>
      <c r="CP152"/>
      <c r="CQ152"/>
      <c r="CR152"/>
    </row>
    <row r="153" spans="33:96">
      <c r="AG153" s="1"/>
      <c r="AH153" s="1"/>
      <c r="AI153" s="1"/>
      <c r="AJ153" s="1"/>
      <c r="AR153" s="1"/>
      <c r="AS153" s="1"/>
      <c r="AT153" s="1"/>
      <c r="AV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M153"/>
      <c r="CN153"/>
      <c r="CO153"/>
      <c r="CP153"/>
      <c r="CQ153"/>
      <c r="CR153"/>
    </row>
    <row r="154" spans="33:96">
      <c r="AG154" s="1"/>
      <c r="AH154" s="1"/>
      <c r="AI154" s="1"/>
      <c r="AJ154" s="1"/>
      <c r="AR154" s="1"/>
      <c r="AS154" s="1"/>
      <c r="AT154" s="1"/>
      <c r="AV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M154"/>
      <c r="CN154"/>
      <c r="CO154"/>
      <c r="CP154"/>
      <c r="CQ154"/>
      <c r="CR154"/>
    </row>
    <row r="155" spans="33:96">
      <c r="AG155" s="1"/>
      <c r="AH155" s="1"/>
      <c r="AI155" s="1"/>
      <c r="AJ155" s="1"/>
      <c r="AR155" s="1"/>
      <c r="AS155" s="1"/>
      <c r="AT155" s="1"/>
      <c r="AV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M155"/>
      <c r="CN155"/>
      <c r="CO155"/>
      <c r="CP155"/>
      <c r="CQ155"/>
      <c r="CR155"/>
    </row>
    <row r="156" spans="33:96">
      <c r="AG156" s="1"/>
      <c r="AH156" s="1"/>
      <c r="AI156" s="1"/>
      <c r="AJ156" s="1"/>
      <c r="AR156" s="1"/>
      <c r="AS156" s="1"/>
      <c r="AT156" s="1"/>
      <c r="AV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M156"/>
      <c r="CN156"/>
      <c r="CO156"/>
      <c r="CP156"/>
      <c r="CQ156"/>
      <c r="CR156"/>
    </row>
    <row r="157" spans="33:96">
      <c r="AG157" s="1"/>
      <c r="AH157" s="1"/>
      <c r="AI157" s="1"/>
      <c r="AJ157" s="1"/>
      <c r="AR157" s="1"/>
      <c r="AS157" s="1"/>
      <c r="AT157" s="1"/>
      <c r="AV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M157"/>
      <c r="CN157"/>
      <c r="CO157"/>
      <c r="CP157"/>
      <c r="CQ157"/>
      <c r="CR157"/>
    </row>
    <row r="158" spans="33:96">
      <c r="AG158" s="1"/>
      <c r="AH158" s="1"/>
      <c r="AI158" s="1"/>
      <c r="AJ158" s="1"/>
      <c r="AR158" s="1"/>
      <c r="AS158" s="1"/>
      <c r="AT158" s="1"/>
      <c r="AV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M158"/>
      <c r="CN158"/>
      <c r="CO158"/>
      <c r="CP158"/>
      <c r="CQ158"/>
      <c r="CR158"/>
    </row>
    <row r="159" spans="33:96">
      <c r="AG159" s="1"/>
      <c r="AH159" s="1"/>
      <c r="AI159" s="1"/>
      <c r="AJ159" s="1"/>
      <c r="AR159" s="1"/>
      <c r="AS159" s="1"/>
      <c r="AT159" s="1"/>
      <c r="AV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M159"/>
      <c r="CN159"/>
      <c r="CO159"/>
      <c r="CP159"/>
      <c r="CQ159"/>
      <c r="CR159"/>
    </row>
    <row r="160" spans="33:96">
      <c r="AG160" s="1"/>
      <c r="AH160" s="1"/>
      <c r="AI160" s="1"/>
      <c r="AJ160" s="1"/>
      <c r="AR160" s="1"/>
      <c r="AS160" s="1"/>
      <c r="AT160" s="1"/>
      <c r="AV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M160"/>
      <c r="CN160"/>
      <c r="CO160"/>
      <c r="CP160"/>
      <c r="CQ160"/>
      <c r="CR160"/>
    </row>
    <row r="161" spans="33:96">
      <c r="AG161" s="1"/>
      <c r="AH161" s="1"/>
      <c r="AI161" s="1"/>
      <c r="AJ161" s="1"/>
      <c r="AR161" s="1"/>
      <c r="AS161" s="1"/>
      <c r="AT161" s="1"/>
      <c r="AV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M161"/>
      <c r="CN161"/>
      <c r="CO161"/>
      <c r="CP161"/>
      <c r="CQ161"/>
      <c r="CR161"/>
    </row>
    <row r="162" spans="33:96">
      <c r="AG162" s="1"/>
      <c r="AH162" s="1"/>
      <c r="AI162" s="1"/>
      <c r="AJ162" s="1"/>
      <c r="AR162" s="1"/>
      <c r="AS162" s="1"/>
      <c r="AT162" s="1"/>
      <c r="AV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M162"/>
      <c r="CN162"/>
      <c r="CO162"/>
      <c r="CP162"/>
      <c r="CQ162"/>
      <c r="CR162"/>
    </row>
    <row r="163" spans="33:96">
      <c r="AG163" s="1"/>
      <c r="AH163" s="1"/>
      <c r="AI163" s="1"/>
      <c r="AJ163" s="1"/>
      <c r="AR163" s="1"/>
      <c r="AS163" s="1"/>
      <c r="AT163" s="1"/>
      <c r="AV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M163"/>
      <c r="CN163"/>
      <c r="CO163"/>
      <c r="CP163"/>
      <c r="CQ163"/>
      <c r="CR163"/>
    </row>
    <row r="164" spans="33:96">
      <c r="AG164" s="1"/>
      <c r="AH164" s="1"/>
      <c r="AI164" s="1"/>
      <c r="AJ164" s="1"/>
      <c r="AR164" s="1"/>
      <c r="AS164" s="1"/>
      <c r="AT164" s="1"/>
      <c r="AV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M164"/>
      <c r="CN164"/>
      <c r="CO164"/>
      <c r="CP164"/>
      <c r="CQ164"/>
      <c r="CR164"/>
    </row>
    <row r="165" spans="33:96">
      <c r="AG165" s="1"/>
      <c r="AH165" s="1"/>
      <c r="AI165" s="1"/>
      <c r="AJ165" s="1"/>
      <c r="AR165" s="1"/>
      <c r="AS165" s="1"/>
      <c r="AT165" s="1"/>
      <c r="AV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M165"/>
      <c r="CN165"/>
      <c r="CO165"/>
      <c r="CP165"/>
      <c r="CQ165"/>
      <c r="CR165"/>
    </row>
    <row r="166" spans="33:96">
      <c r="AG166" s="1"/>
      <c r="AH166" s="1"/>
      <c r="AI166" s="1"/>
      <c r="AJ166" s="1"/>
      <c r="AR166" s="1"/>
      <c r="AS166" s="1"/>
      <c r="AT166" s="1"/>
      <c r="AV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M166"/>
      <c r="CN166"/>
      <c r="CO166"/>
      <c r="CP166"/>
      <c r="CQ166"/>
      <c r="CR166"/>
    </row>
    <row r="167" spans="33:96">
      <c r="AG167" s="1"/>
      <c r="AH167" s="1"/>
      <c r="AI167" s="1"/>
      <c r="AJ167" s="1"/>
      <c r="AR167" s="1"/>
      <c r="AS167" s="1"/>
      <c r="AT167" s="1"/>
      <c r="AV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M167"/>
      <c r="CN167"/>
      <c r="CO167"/>
      <c r="CP167"/>
      <c r="CQ167"/>
      <c r="CR167"/>
    </row>
    <row r="168" spans="33:96">
      <c r="AG168" s="1"/>
      <c r="AH168" s="1"/>
      <c r="AI168" s="1"/>
      <c r="AJ168" s="1"/>
      <c r="AR168" s="1"/>
      <c r="AS168" s="1"/>
      <c r="AT168" s="1"/>
      <c r="AV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M168"/>
      <c r="CN168"/>
      <c r="CO168"/>
      <c r="CP168"/>
      <c r="CQ168"/>
      <c r="CR168"/>
    </row>
    <row r="169" spans="33:96">
      <c r="AG169" s="1"/>
      <c r="AH169" s="1"/>
      <c r="AI169" s="1"/>
      <c r="AJ169" s="1"/>
      <c r="AR169" s="1"/>
      <c r="AS169" s="1"/>
      <c r="AT169" s="1"/>
      <c r="AV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M169"/>
      <c r="CN169"/>
      <c r="CO169"/>
      <c r="CP169"/>
      <c r="CQ169"/>
      <c r="CR169"/>
    </row>
    <row r="170" spans="33:96">
      <c r="AG170" s="1"/>
      <c r="AH170" s="1"/>
      <c r="AI170" s="1"/>
      <c r="AJ170" s="1"/>
      <c r="AR170" s="1"/>
      <c r="AS170" s="1"/>
      <c r="AT170" s="1"/>
      <c r="AV170" s="1"/>
      <c r="BC170" s="1"/>
      <c r="BD170" s="1"/>
      <c r="BE170" s="1"/>
      <c r="BF170" s="1"/>
      <c r="BG170" s="1"/>
      <c r="BH170" s="1"/>
      <c r="BI170" s="1"/>
      <c r="BJ170" s="1"/>
      <c r="BK170" s="1"/>
      <c r="BL170" s="1"/>
      <c r="BM170" s="1"/>
      <c r="BN170" s="1"/>
      <c r="BO170" s="1"/>
      <c r="BP170" s="1"/>
      <c r="BQ170" s="1"/>
      <c r="BR170" s="1"/>
      <c r="BS170" s="1"/>
      <c r="BT170" s="1"/>
      <c r="BU170" s="1"/>
      <c r="BV170" s="1"/>
      <c r="BW170" s="1"/>
      <c r="BX170" s="1"/>
      <c r="BY170" s="1"/>
      <c r="BZ170" s="1"/>
      <c r="CA170" s="1"/>
      <c r="CM170"/>
      <c r="CN170"/>
      <c r="CO170"/>
      <c r="CP170"/>
      <c r="CQ170"/>
      <c r="CR170"/>
    </row>
    <row r="171" spans="33:96">
      <c r="AG171" s="1"/>
      <c r="AH171" s="1"/>
      <c r="AI171" s="1"/>
      <c r="AJ171" s="1"/>
      <c r="AR171" s="1"/>
      <c r="AS171" s="1"/>
      <c r="AT171" s="1"/>
      <c r="AV171" s="1"/>
      <c r="BC171" s="1"/>
      <c r="BD171" s="1"/>
      <c r="BE171" s="1"/>
      <c r="BF171" s="1"/>
      <c r="BG171" s="1"/>
      <c r="BH171" s="1"/>
      <c r="BI171" s="1"/>
      <c r="BJ171" s="1"/>
      <c r="BK171" s="1"/>
      <c r="BL171" s="1"/>
      <c r="BM171" s="1"/>
      <c r="BN171" s="1"/>
      <c r="BO171" s="1"/>
      <c r="BP171" s="1"/>
      <c r="BQ171" s="1"/>
      <c r="BR171" s="1"/>
      <c r="BS171" s="1"/>
      <c r="BT171" s="1"/>
      <c r="BU171" s="1"/>
      <c r="BV171" s="1"/>
      <c r="BW171" s="1"/>
      <c r="BX171" s="1"/>
      <c r="BY171" s="1"/>
      <c r="BZ171" s="1"/>
      <c r="CA171" s="1"/>
      <c r="CM171"/>
      <c r="CN171"/>
      <c r="CO171"/>
      <c r="CP171"/>
      <c r="CQ171"/>
      <c r="CR171"/>
    </row>
    <row r="172" spans="33:96">
      <c r="AG172" s="1"/>
      <c r="AH172" s="1"/>
      <c r="AI172" s="1"/>
      <c r="AJ172" s="1"/>
      <c r="AR172" s="1"/>
      <c r="AS172" s="1"/>
      <c r="AT172" s="1"/>
      <c r="AV172" s="1"/>
      <c r="BC172" s="1"/>
      <c r="BD172" s="1"/>
      <c r="BE172" s="1"/>
      <c r="BF172" s="1"/>
      <c r="BG172" s="1"/>
      <c r="BH172" s="1"/>
      <c r="BI172" s="1"/>
      <c r="BJ172" s="1"/>
      <c r="BK172" s="1"/>
      <c r="BL172" s="1"/>
      <c r="BM172" s="1"/>
      <c r="BN172" s="1"/>
      <c r="BO172" s="1"/>
      <c r="BP172" s="1"/>
      <c r="BQ172" s="1"/>
      <c r="BR172" s="1"/>
      <c r="BS172" s="1"/>
      <c r="BT172" s="1"/>
      <c r="BU172" s="1"/>
      <c r="BV172" s="1"/>
      <c r="BW172" s="1"/>
      <c r="BX172" s="1"/>
      <c r="BY172" s="1"/>
      <c r="BZ172" s="1"/>
      <c r="CA172" s="1"/>
      <c r="CM172"/>
      <c r="CN172"/>
      <c r="CO172"/>
      <c r="CP172"/>
      <c r="CQ172"/>
      <c r="CR172"/>
    </row>
    <row r="173" spans="33:96">
      <c r="AG173" s="1"/>
      <c r="AH173" s="1"/>
      <c r="AI173" s="1"/>
      <c r="AJ173" s="1"/>
      <c r="AR173" s="1"/>
      <c r="AS173" s="1"/>
      <c r="AT173" s="1"/>
      <c r="AV173" s="1"/>
      <c r="BC173" s="1"/>
      <c r="BD173" s="1"/>
      <c r="BE173" s="1"/>
      <c r="BF173" s="1"/>
      <c r="BG173" s="1"/>
      <c r="BH173" s="1"/>
      <c r="BI173" s="1"/>
      <c r="BJ173" s="1"/>
      <c r="BK173" s="1"/>
      <c r="BL173" s="1"/>
      <c r="BM173" s="1"/>
      <c r="BN173" s="1"/>
      <c r="BO173" s="1"/>
      <c r="BP173" s="1"/>
      <c r="BQ173" s="1"/>
      <c r="BR173" s="1"/>
      <c r="BS173" s="1"/>
      <c r="BT173" s="1"/>
      <c r="BU173" s="1"/>
      <c r="BV173" s="1"/>
      <c r="BW173" s="1"/>
      <c r="BX173" s="1"/>
      <c r="BY173" s="1"/>
      <c r="BZ173" s="1"/>
      <c r="CA173" s="1"/>
      <c r="CM173"/>
      <c r="CN173"/>
      <c r="CO173"/>
      <c r="CP173"/>
      <c r="CQ173"/>
      <c r="CR173"/>
    </row>
    <row r="174" spans="33:96">
      <c r="AG174" s="1"/>
      <c r="AH174" s="1"/>
      <c r="AI174" s="1"/>
      <c r="AJ174" s="1"/>
      <c r="AR174" s="1"/>
      <c r="AS174" s="1"/>
      <c r="AT174" s="1"/>
      <c r="AV174" s="1"/>
      <c r="BC174" s="1"/>
      <c r="BD174" s="1"/>
      <c r="BE174" s="1"/>
      <c r="BF174" s="1"/>
      <c r="BG174" s="1"/>
      <c r="BH174" s="1"/>
      <c r="BI174" s="1"/>
      <c r="BJ174" s="1"/>
      <c r="BK174" s="1"/>
      <c r="BL174" s="1"/>
      <c r="BM174" s="1"/>
      <c r="BN174" s="1"/>
      <c r="BO174" s="1"/>
      <c r="BP174" s="1"/>
      <c r="BQ174" s="1"/>
      <c r="BR174" s="1"/>
      <c r="BS174" s="1"/>
      <c r="BT174" s="1"/>
      <c r="BU174" s="1"/>
      <c r="BV174" s="1"/>
      <c r="BW174" s="1"/>
      <c r="BX174" s="1"/>
      <c r="BY174" s="1"/>
      <c r="BZ174" s="1"/>
      <c r="CA174" s="1"/>
      <c r="CM174"/>
      <c r="CN174"/>
      <c r="CO174"/>
      <c r="CP174"/>
      <c r="CQ174"/>
      <c r="CR174"/>
    </row>
    <row r="175" spans="33:96">
      <c r="AG175" s="1"/>
      <c r="AH175" s="1"/>
      <c r="AI175" s="1"/>
      <c r="AJ175" s="1"/>
      <c r="AR175" s="1"/>
      <c r="AS175" s="1"/>
      <c r="AT175" s="1"/>
      <c r="AV175" s="1"/>
      <c r="BC175" s="1"/>
      <c r="BD175" s="1"/>
      <c r="BE175" s="1"/>
      <c r="BF175" s="1"/>
      <c r="BG175" s="1"/>
      <c r="BH175" s="1"/>
      <c r="BI175" s="1"/>
      <c r="BJ175" s="1"/>
      <c r="BK175" s="1"/>
      <c r="BL175" s="1"/>
      <c r="BM175" s="1"/>
      <c r="BN175" s="1"/>
      <c r="BO175" s="1"/>
      <c r="BP175" s="1"/>
      <c r="BQ175" s="1"/>
      <c r="BR175" s="1"/>
      <c r="BS175" s="1"/>
      <c r="BT175" s="1"/>
      <c r="BU175" s="1"/>
      <c r="BV175" s="1"/>
      <c r="BW175" s="1"/>
      <c r="BX175" s="1"/>
      <c r="BY175" s="1"/>
      <c r="BZ175" s="1"/>
      <c r="CA175" s="1"/>
      <c r="CM175"/>
      <c r="CN175"/>
      <c r="CO175"/>
      <c r="CP175"/>
      <c r="CQ175"/>
      <c r="CR175"/>
    </row>
    <row r="176" spans="33:96">
      <c r="AG176" s="1"/>
      <c r="AH176" s="1"/>
      <c r="AI176" s="1"/>
      <c r="AJ176" s="1"/>
      <c r="AR176" s="1"/>
      <c r="AS176" s="1"/>
      <c r="AT176" s="1"/>
      <c r="AV176" s="1"/>
      <c r="BC176" s="1"/>
      <c r="BD176" s="1"/>
      <c r="BE176" s="1"/>
      <c r="BF176" s="1"/>
      <c r="BG176" s="1"/>
      <c r="BH176" s="1"/>
      <c r="BI176" s="1"/>
      <c r="BJ176" s="1"/>
      <c r="BK176" s="1"/>
      <c r="BL176" s="1"/>
      <c r="BM176" s="1"/>
      <c r="BN176" s="1"/>
      <c r="BO176" s="1"/>
      <c r="BP176" s="1"/>
      <c r="BQ176" s="1"/>
      <c r="BR176" s="1"/>
      <c r="BS176" s="1"/>
      <c r="BT176" s="1"/>
      <c r="BU176" s="1"/>
      <c r="BV176" s="1"/>
      <c r="BW176" s="1"/>
      <c r="BX176" s="1"/>
      <c r="BY176" s="1"/>
      <c r="BZ176" s="1"/>
      <c r="CA176" s="1"/>
      <c r="CM176"/>
      <c r="CN176"/>
      <c r="CO176"/>
      <c r="CP176"/>
      <c r="CQ176"/>
      <c r="CR176"/>
    </row>
    <row r="177" spans="33:96">
      <c r="AG177" s="1"/>
      <c r="AH177" s="1"/>
      <c r="AI177" s="1"/>
      <c r="AJ177" s="1"/>
      <c r="AR177" s="1"/>
      <c r="AS177" s="1"/>
      <c r="AT177" s="1"/>
      <c r="AV177" s="1"/>
      <c r="BC177" s="1"/>
      <c r="BD177" s="1"/>
      <c r="BE177" s="1"/>
      <c r="BF177" s="1"/>
      <c r="BG177" s="1"/>
      <c r="BH177" s="1"/>
      <c r="BI177" s="1"/>
      <c r="BJ177" s="1"/>
      <c r="BK177" s="1"/>
      <c r="BL177" s="1"/>
      <c r="BM177" s="1"/>
      <c r="BN177" s="1"/>
      <c r="BO177" s="1"/>
      <c r="BP177" s="1"/>
      <c r="BQ177" s="1"/>
      <c r="BR177" s="1"/>
      <c r="BS177" s="1"/>
      <c r="BT177" s="1"/>
      <c r="BU177" s="1"/>
      <c r="BV177" s="1"/>
      <c r="BW177" s="1"/>
      <c r="BX177" s="1"/>
      <c r="BY177" s="1"/>
      <c r="BZ177" s="1"/>
      <c r="CA177" s="1"/>
      <c r="CM177"/>
      <c r="CN177"/>
      <c r="CO177"/>
      <c r="CP177"/>
      <c r="CQ177"/>
      <c r="CR177"/>
    </row>
    <row r="178" spans="33:96">
      <c r="AG178" s="1"/>
      <c r="AH178" s="1"/>
      <c r="AI178" s="1"/>
      <c r="AJ178" s="1"/>
      <c r="AR178" s="1"/>
      <c r="AS178" s="1"/>
      <c r="AT178" s="1"/>
      <c r="AV178" s="1"/>
      <c r="BC178" s="1"/>
      <c r="BD178" s="1"/>
      <c r="BE178" s="1"/>
      <c r="BF178" s="1"/>
      <c r="BG178" s="1"/>
      <c r="BH178" s="1"/>
      <c r="BI178" s="1"/>
      <c r="BJ178" s="1"/>
      <c r="BK178" s="1"/>
      <c r="BL178" s="1"/>
      <c r="BM178" s="1"/>
      <c r="BN178" s="1"/>
      <c r="BO178" s="1"/>
      <c r="BP178" s="1"/>
      <c r="BQ178" s="1"/>
      <c r="BR178" s="1"/>
      <c r="BS178" s="1"/>
      <c r="BT178" s="1"/>
      <c r="BU178" s="1"/>
      <c r="BV178" s="1"/>
      <c r="BW178" s="1"/>
      <c r="BX178" s="1"/>
      <c r="BY178" s="1"/>
      <c r="BZ178" s="1"/>
      <c r="CA178" s="1"/>
      <c r="CM178"/>
      <c r="CN178"/>
      <c r="CO178"/>
      <c r="CP178"/>
      <c r="CQ178"/>
      <c r="CR178"/>
    </row>
    <row r="179" spans="33:96">
      <c r="AG179" s="1"/>
      <c r="AH179" s="1"/>
      <c r="AI179" s="1"/>
      <c r="AJ179" s="1"/>
      <c r="AR179" s="1"/>
      <c r="AS179" s="1"/>
      <c r="AT179" s="1"/>
      <c r="AV179" s="1"/>
      <c r="BC179" s="1"/>
      <c r="BD179" s="1"/>
      <c r="BE179" s="1"/>
      <c r="BF179" s="1"/>
      <c r="BG179" s="1"/>
      <c r="BH179" s="1"/>
      <c r="BI179" s="1"/>
      <c r="BJ179" s="1"/>
      <c r="BK179" s="1"/>
      <c r="BL179" s="1"/>
      <c r="BM179" s="1"/>
      <c r="BN179" s="1"/>
      <c r="BO179" s="1"/>
      <c r="BP179" s="1"/>
      <c r="BQ179" s="1"/>
      <c r="BR179" s="1"/>
      <c r="BS179" s="1"/>
      <c r="BT179" s="1"/>
      <c r="BU179" s="1"/>
      <c r="BV179" s="1"/>
      <c r="BW179" s="1"/>
      <c r="BX179" s="1"/>
      <c r="BY179" s="1"/>
      <c r="BZ179" s="1"/>
      <c r="CA179" s="1"/>
      <c r="CM179"/>
      <c r="CN179"/>
      <c r="CO179"/>
      <c r="CP179"/>
      <c r="CQ179"/>
      <c r="CR179"/>
    </row>
    <row r="180" spans="33:96">
      <c r="AG180" s="1"/>
      <c r="AH180" s="1"/>
      <c r="AI180" s="1"/>
      <c r="AJ180" s="1"/>
      <c r="AR180" s="1"/>
      <c r="AS180" s="1"/>
      <c r="AT180" s="1"/>
      <c r="AV180" s="1"/>
      <c r="BC180" s="1"/>
      <c r="BD180" s="1"/>
      <c r="BE180" s="1"/>
      <c r="BF180" s="1"/>
      <c r="BG180" s="1"/>
      <c r="BH180" s="1"/>
      <c r="BI180" s="1"/>
      <c r="BJ180" s="1"/>
      <c r="BK180" s="1"/>
      <c r="BL180" s="1"/>
      <c r="BM180" s="1"/>
      <c r="BN180" s="1"/>
      <c r="BO180" s="1"/>
      <c r="BP180" s="1"/>
      <c r="BQ180" s="1"/>
      <c r="BR180" s="1"/>
      <c r="BS180" s="1"/>
      <c r="BT180" s="1"/>
      <c r="BU180" s="1"/>
      <c r="BV180" s="1"/>
      <c r="BW180" s="1"/>
      <c r="BX180" s="1"/>
      <c r="BY180" s="1"/>
      <c r="BZ180" s="1"/>
      <c r="CA180" s="1"/>
      <c r="CM180"/>
      <c r="CN180"/>
      <c r="CO180"/>
      <c r="CP180"/>
      <c r="CQ180"/>
      <c r="CR180"/>
    </row>
    <row r="181" spans="33:96">
      <c r="AG181" s="1"/>
      <c r="AH181" s="1"/>
      <c r="AI181" s="1"/>
      <c r="AJ181" s="1"/>
      <c r="AR181" s="1"/>
      <c r="AS181" s="1"/>
      <c r="AT181" s="1"/>
      <c r="AV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M181"/>
      <c r="CN181"/>
      <c r="CO181"/>
      <c r="CP181"/>
      <c r="CQ181"/>
      <c r="CR181"/>
    </row>
    <row r="182" spans="33:96">
      <c r="AG182" s="1"/>
      <c r="AH182" s="1"/>
      <c r="AI182" s="1"/>
      <c r="AJ182" s="1"/>
      <c r="AR182" s="1"/>
      <c r="AS182" s="1"/>
      <c r="AT182" s="1"/>
      <c r="AV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M182"/>
      <c r="CN182"/>
      <c r="CO182"/>
      <c r="CP182"/>
      <c r="CQ182"/>
      <c r="CR182"/>
    </row>
    <row r="183" spans="33:96">
      <c r="AG183" s="1"/>
      <c r="AH183" s="1"/>
      <c r="AI183" s="1"/>
      <c r="AJ183" s="1"/>
      <c r="AR183" s="1"/>
      <c r="AS183" s="1"/>
      <c r="AT183" s="1"/>
      <c r="AV183" s="1"/>
      <c r="BC183" s="1"/>
      <c r="BD183" s="1"/>
      <c r="BE183" s="1"/>
      <c r="BF183" s="1"/>
      <c r="BG183" s="1"/>
      <c r="BH183" s="1"/>
      <c r="BI183" s="1"/>
      <c r="BJ183" s="1"/>
      <c r="BK183" s="1"/>
      <c r="BL183" s="1"/>
      <c r="BM183" s="1"/>
      <c r="BN183" s="1"/>
      <c r="BO183" s="1"/>
      <c r="BP183" s="1"/>
      <c r="BQ183" s="1"/>
      <c r="BR183" s="1"/>
      <c r="BS183" s="1"/>
      <c r="BT183" s="1"/>
      <c r="BU183" s="1"/>
      <c r="BV183" s="1"/>
      <c r="BW183" s="1"/>
      <c r="BX183" s="1"/>
      <c r="BY183" s="1"/>
      <c r="BZ183" s="1"/>
      <c r="CA183" s="1"/>
      <c r="CM183"/>
      <c r="CN183"/>
      <c r="CO183"/>
      <c r="CP183"/>
      <c r="CQ183"/>
      <c r="CR183"/>
    </row>
    <row r="184" spans="33:96">
      <c r="AG184" s="1"/>
      <c r="AH184" s="1"/>
      <c r="AI184" s="1"/>
      <c r="AJ184" s="1"/>
      <c r="AR184" s="1"/>
      <c r="AS184" s="1"/>
      <c r="AT184" s="1"/>
      <c r="AV184" s="1"/>
      <c r="BC184" s="1"/>
      <c r="BD184" s="1"/>
      <c r="BE184" s="1"/>
      <c r="BF184" s="1"/>
      <c r="BG184" s="1"/>
      <c r="BH184" s="1"/>
      <c r="BI184" s="1"/>
      <c r="BJ184" s="1"/>
      <c r="BK184" s="1"/>
      <c r="BL184" s="1"/>
      <c r="BM184" s="1"/>
      <c r="BN184" s="1"/>
      <c r="BO184" s="1"/>
      <c r="BP184" s="1"/>
      <c r="BQ184" s="1"/>
      <c r="BR184" s="1"/>
      <c r="BS184" s="1"/>
      <c r="BT184" s="1"/>
      <c r="BU184" s="1"/>
      <c r="BV184" s="1"/>
      <c r="BW184" s="1"/>
      <c r="BX184" s="1"/>
      <c r="BY184" s="1"/>
      <c r="BZ184" s="1"/>
      <c r="CA184" s="1"/>
      <c r="CM184"/>
      <c r="CN184"/>
      <c r="CO184"/>
      <c r="CP184"/>
      <c r="CQ184"/>
      <c r="CR184"/>
    </row>
    <row r="185" spans="33:96">
      <c r="AG185" s="1"/>
      <c r="AH185" s="1"/>
      <c r="AI185" s="1"/>
      <c r="AJ185" s="1"/>
      <c r="AR185" s="1"/>
      <c r="AS185" s="1"/>
      <c r="AT185" s="1"/>
      <c r="AV185" s="1"/>
      <c r="BC185" s="1"/>
      <c r="BD185" s="1"/>
      <c r="BE185" s="1"/>
      <c r="BF185" s="1"/>
      <c r="BG185" s="1"/>
      <c r="BH185" s="1"/>
      <c r="BI185" s="1"/>
      <c r="BJ185" s="1"/>
      <c r="BK185" s="1"/>
      <c r="BL185" s="1"/>
      <c r="BM185" s="1"/>
      <c r="BN185" s="1"/>
      <c r="BO185" s="1"/>
      <c r="BP185" s="1"/>
      <c r="BQ185" s="1"/>
      <c r="BR185" s="1"/>
      <c r="BS185" s="1"/>
      <c r="BT185" s="1"/>
      <c r="BU185" s="1"/>
      <c r="BV185" s="1"/>
      <c r="BW185" s="1"/>
      <c r="BX185" s="1"/>
      <c r="BY185" s="1"/>
      <c r="BZ185" s="1"/>
      <c r="CA185" s="1"/>
      <c r="CM185"/>
      <c r="CN185"/>
      <c r="CO185"/>
      <c r="CP185"/>
      <c r="CQ185"/>
      <c r="CR185"/>
    </row>
    <row r="186" spans="33:96">
      <c r="AG186" s="1"/>
      <c r="AH186" s="1"/>
      <c r="AI186" s="1"/>
      <c r="AJ186" s="1"/>
      <c r="AR186" s="1"/>
      <c r="AS186" s="1"/>
      <c r="AT186" s="1"/>
      <c r="AV186" s="1"/>
      <c r="BC186" s="1"/>
      <c r="BD186" s="1"/>
      <c r="BE186" s="1"/>
      <c r="BF186" s="1"/>
      <c r="BG186" s="1"/>
      <c r="BH186" s="1"/>
      <c r="BI186" s="1"/>
      <c r="BJ186" s="1"/>
      <c r="BK186" s="1"/>
      <c r="BL186" s="1"/>
      <c r="BM186" s="1"/>
      <c r="BN186" s="1"/>
      <c r="BO186" s="1"/>
      <c r="BP186" s="1"/>
      <c r="BQ186" s="1"/>
      <c r="BR186" s="1"/>
      <c r="BS186" s="1"/>
      <c r="BT186" s="1"/>
      <c r="BU186" s="1"/>
      <c r="BV186" s="1"/>
      <c r="BW186" s="1"/>
      <c r="BX186" s="1"/>
      <c r="BY186" s="1"/>
      <c r="BZ186" s="1"/>
      <c r="CA186" s="1"/>
      <c r="CM186"/>
      <c r="CN186"/>
      <c r="CO186"/>
      <c r="CP186"/>
      <c r="CQ186"/>
      <c r="CR186"/>
    </row>
    <row r="187" spans="33:96">
      <c r="AG187" s="1"/>
      <c r="AH187" s="1"/>
      <c r="AI187" s="1"/>
      <c r="AJ187" s="1"/>
      <c r="AR187" s="1"/>
      <c r="AS187" s="1"/>
      <c r="AT187" s="1"/>
      <c r="AV187" s="1"/>
      <c r="BC187" s="1"/>
      <c r="BD187" s="1"/>
      <c r="BE187" s="1"/>
      <c r="BF187" s="1"/>
      <c r="BG187" s="1"/>
      <c r="BH187" s="1"/>
      <c r="BI187" s="1"/>
      <c r="BJ187" s="1"/>
      <c r="BK187" s="1"/>
      <c r="BL187" s="1"/>
      <c r="BM187" s="1"/>
      <c r="BN187" s="1"/>
      <c r="BO187" s="1"/>
      <c r="BP187" s="1"/>
      <c r="BQ187" s="1"/>
      <c r="BR187" s="1"/>
      <c r="BS187" s="1"/>
      <c r="BT187" s="1"/>
      <c r="BU187" s="1"/>
      <c r="BV187" s="1"/>
      <c r="BW187" s="1"/>
      <c r="BX187" s="1"/>
      <c r="BY187" s="1"/>
      <c r="BZ187" s="1"/>
      <c r="CA187" s="1"/>
      <c r="CM187"/>
      <c r="CN187"/>
      <c r="CO187"/>
      <c r="CP187"/>
      <c r="CQ187"/>
      <c r="CR187"/>
    </row>
    <row r="188" spans="33:96">
      <c r="AG188" s="1"/>
      <c r="AH188" s="1"/>
      <c r="AI188" s="1"/>
      <c r="AJ188" s="1"/>
      <c r="AR188" s="1"/>
      <c r="AS188" s="1"/>
      <c r="AT188" s="1"/>
      <c r="AV188" s="1"/>
      <c r="BC188" s="1"/>
      <c r="BD188" s="1"/>
      <c r="BE188" s="1"/>
      <c r="BF188" s="1"/>
      <c r="BG188" s="1"/>
      <c r="BH188" s="1"/>
      <c r="BI188" s="1"/>
      <c r="BJ188" s="1"/>
      <c r="BK188" s="1"/>
      <c r="BL188" s="1"/>
      <c r="BM188" s="1"/>
      <c r="BN188" s="1"/>
      <c r="BO188" s="1"/>
      <c r="BP188" s="1"/>
      <c r="BQ188" s="1"/>
      <c r="BR188" s="1"/>
      <c r="BS188" s="1"/>
      <c r="BT188" s="1"/>
      <c r="BU188" s="1"/>
      <c r="BV188" s="1"/>
      <c r="BW188" s="1"/>
      <c r="BX188" s="1"/>
      <c r="BY188" s="1"/>
      <c r="BZ188" s="1"/>
      <c r="CA188" s="1"/>
      <c r="CM188"/>
      <c r="CN188"/>
      <c r="CO188"/>
      <c r="CP188"/>
      <c r="CQ188"/>
      <c r="CR188"/>
    </row>
    <row r="189" spans="33:96">
      <c r="AG189" s="1"/>
      <c r="AH189" s="1"/>
      <c r="AI189" s="1"/>
      <c r="AJ189" s="1"/>
      <c r="AR189" s="1"/>
      <c r="AS189" s="1"/>
      <c r="AT189" s="1"/>
      <c r="AV189" s="1"/>
      <c r="BC189" s="1"/>
      <c r="BD189" s="1"/>
      <c r="BE189" s="1"/>
      <c r="BF189" s="1"/>
      <c r="BG189" s="1"/>
      <c r="BH189" s="1"/>
      <c r="BI189" s="1"/>
      <c r="BJ189" s="1"/>
      <c r="BK189" s="1"/>
      <c r="BL189" s="1"/>
      <c r="BM189" s="1"/>
      <c r="BN189" s="1"/>
      <c r="BO189" s="1"/>
      <c r="BP189" s="1"/>
      <c r="BQ189" s="1"/>
      <c r="BR189" s="1"/>
      <c r="BS189" s="1"/>
      <c r="BT189" s="1"/>
      <c r="BU189" s="1"/>
      <c r="BV189" s="1"/>
      <c r="BW189" s="1"/>
      <c r="BX189" s="1"/>
      <c r="BY189" s="1"/>
      <c r="BZ189" s="1"/>
      <c r="CA189" s="1"/>
      <c r="CM189"/>
      <c r="CN189"/>
      <c r="CO189"/>
      <c r="CP189"/>
      <c r="CQ189"/>
      <c r="CR189"/>
    </row>
    <row r="190" spans="33:96">
      <c r="AG190" s="1"/>
      <c r="AH190" s="1"/>
      <c r="AI190" s="1"/>
      <c r="AJ190" s="1"/>
      <c r="AR190" s="1"/>
      <c r="AS190" s="1"/>
      <c r="AT190" s="1"/>
      <c r="AV190" s="1"/>
      <c r="BC190" s="1"/>
      <c r="BD190" s="1"/>
      <c r="BE190" s="1"/>
      <c r="BF190" s="1"/>
      <c r="BG190" s="1"/>
      <c r="BH190" s="1"/>
      <c r="BI190" s="1"/>
      <c r="BJ190" s="1"/>
      <c r="BK190" s="1"/>
      <c r="BL190" s="1"/>
      <c r="BM190" s="1"/>
      <c r="BN190" s="1"/>
      <c r="BO190" s="1"/>
      <c r="BP190" s="1"/>
      <c r="BQ190" s="1"/>
      <c r="BR190" s="1"/>
      <c r="BS190" s="1"/>
      <c r="BT190" s="1"/>
      <c r="BU190" s="1"/>
      <c r="BV190" s="1"/>
      <c r="BW190" s="1"/>
      <c r="BX190" s="1"/>
      <c r="BY190" s="1"/>
      <c r="BZ190" s="1"/>
      <c r="CA190" s="1"/>
      <c r="CM190"/>
      <c r="CN190"/>
      <c r="CO190"/>
      <c r="CP190"/>
      <c r="CQ190"/>
      <c r="CR190"/>
    </row>
    <row r="191" spans="33:96">
      <c r="AG191" s="1"/>
      <c r="AH191" s="1"/>
      <c r="AI191" s="1"/>
      <c r="AJ191" s="1"/>
      <c r="AR191" s="1"/>
      <c r="AS191" s="1"/>
      <c r="AT191" s="1"/>
      <c r="AV191" s="1"/>
      <c r="BC191" s="1"/>
      <c r="BD191" s="1"/>
      <c r="BE191" s="1"/>
      <c r="BF191" s="1"/>
      <c r="BG191" s="1"/>
      <c r="BH191" s="1"/>
      <c r="BI191" s="1"/>
      <c r="BJ191" s="1"/>
      <c r="BK191" s="1"/>
      <c r="BL191" s="1"/>
      <c r="BM191" s="1"/>
      <c r="BN191" s="1"/>
      <c r="BO191" s="1"/>
      <c r="BP191" s="1"/>
      <c r="BQ191" s="1"/>
      <c r="BR191" s="1"/>
      <c r="BS191" s="1"/>
      <c r="BT191" s="1"/>
      <c r="BU191" s="1"/>
      <c r="BV191" s="1"/>
      <c r="BW191" s="1"/>
      <c r="BX191" s="1"/>
      <c r="BY191" s="1"/>
      <c r="BZ191" s="1"/>
      <c r="CA191" s="1"/>
      <c r="CM191"/>
      <c r="CN191"/>
      <c r="CO191"/>
      <c r="CP191"/>
      <c r="CQ191"/>
      <c r="CR191"/>
    </row>
    <row r="192" spans="33:96">
      <c r="AG192" s="1"/>
      <c r="AH192" s="1"/>
      <c r="AI192" s="1"/>
      <c r="AJ192" s="1"/>
      <c r="AR192" s="1"/>
      <c r="AS192" s="1"/>
      <c r="AT192" s="1"/>
      <c r="AV192" s="1"/>
      <c r="BC192" s="1"/>
      <c r="BD192" s="1"/>
      <c r="BE192" s="1"/>
      <c r="BF192" s="1"/>
      <c r="BG192" s="1"/>
      <c r="BH192" s="1"/>
      <c r="BI192" s="1"/>
      <c r="BJ192" s="1"/>
      <c r="BK192" s="1"/>
      <c r="BL192" s="1"/>
      <c r="BM192" s="1"/>
      <c r="BN192" s="1"/>
      <c r="BO192" s="1"/>
      <c r="BP192" s="1"/>
      <c r="BQ192" s="1"/>
      <c r="BR192" s="1"/>
      <c r="BS192" s="1"/>
      <c r="BT192" s="1"/>
      <c r="BU192" s="1"/>
      <c r="BV192" s="1"/>
      <c r="BW192" s="1"/>
      <c r="BX192" s="1"/>
      <c r="BY192" s="1"/>
      <c r="BZ192" s="1"/>
      <c r="CA192" s="1"/>
      <c r="CM192"/>
      <c r="CN192"/>
      <c r="CO192"/>
      <c r="CP192"/>
      <c r="CQ192"/>
      <c r="CR192"/>
    </row>
    <row r="193" spans="33:96">
      <c r="AG193" s="1"/>
      <c r="AH193" s="1"/>
      <c r="AI193" s="1"/>
      <c r="AJ193" s="1"/>
      <c r="AR193" s="1"/>
      <c r="AS193" s="1"/>
      <c r="AT193" s="1"/>
      <c r="AV193" s="1"/>
      <c r="BC193" s="1"/>
      <c r="BD193" s="1"/>
      <c r="BE193" s="1"/>
      <c r="BF193" s="1"/>
      <c r="BG193" s="1"/>
      <c r="BH193" s="1"/>
      <c r="BI193" s="1"/>
      <c r="BJ193" s="1"/>
      <c r="BK193" s="1"/>
      <c r="BL193" s="1"/>
      <c r="BM193" s="1"/>
      <c r="BN193" s="1"/>
      <c r="BO193" s="1"/>
      <c r="BP193" s="1"/>
      <c r="BQ193" s="1"/>
      <c r="BR193" s="1"/>
      <c r="BS193" s="1"/>
      <c r="BT193" s="1"/>
      <c r="BU193" s="1"/>
      <c r="BV193" s="1"/>
      <c r="BW193" s="1"/>
      <c r="BX193" s="1"/>
      <c r="BY193" s="1"/>
      <c r="BZ193" s="1"/>
      <c r="CA193" s="1"/>
      <c r="CM193"/>
      <c r="CN193"/>
      <c r="CO193"/>
      <c r="CP193"/>
      <c r="CQ193"/>
      <c r="CR193"/>
    </row>
    <row r="194" spans="33:96">
      <c r="AG194" s="1"/>
      <c r="AH194" s="1"/>
      <c r="AI194" s="1"/>
      <c r="AJ194" s="1"/>
      <c r="AR194" s="1"/>
      <c r="AS194" s="1"/>
      <c r="AT194" s="1"/>
      <c r="AV194" s="1"/>
      <c r="BC194" s="1"/>
      <c r="BD194" s="1"/>
      <c r="BE194" s="1"/>
      <c r="BF194" s="1"/>
      <c r="BG194" s="1"/>
      <c r="BH194" s="1"/>
      <c r="BI194" s="1"/>
      <c r="BJ194" s="1"/>
      <c r="BK194" s="1"/>
      <c r="BL194" s="1"/>
      <c r="BM194" s="1"/>
      <c r="BN194" s="1"/>
      <c r="BO194" s="1"/>
      <c r="BP194" s="1"/>
      <c r="BQ194" s="1"/>
      <c r="BR194" s="1"/>
      <c r="BS194" s="1"/>
      <c r="BT194" s="1"/>
      <c r="BU194" s="1"/>
      <c r="BV194" s="1"/>
      <c r="BW194" s="1"/>
      <c r="BX194" s="1"/>
      <c r="BY194" s="1"/>
      <c r="BZ194" s="1"/>
      <c r="CA194" s="1"/>
      <c r="CM194"/>
      <c r="CN194"/>
      <c r="CO194"/>
      <c r="CP194"/>
      <c r="CQ194"/>
      <c r="CR194"/>
    </row>
    <row r="195" spans="33:96">
      <c r="AG195" s="1"/>
      <c r="AH195" s="1"/>
      <c r="AI195" s="1"/>
      <c r="AJ195" s="1"/>
      <c r="AR195" s="1"/>
      <c r="AS195" s="1"/>
      <c r="AT195" s="1"/>
      <c r="AV195" s="1"/>
      <c r="BC195" s="1"/>
      <c r="BD195" s="1"/>
      <c r="BE195" s="1"/>
      <c r="BF195" s="1"/>
      <c r="BG195" s="1"/>
      <c r="BH195" s="1"/>
      <c r="BI195" s="1"/>
      <c r="BJ195" s="1"/>
      <c r="BK195" s="1"/>
      <c r="BL195" s="1"/>
      <c r="BM195" s="1"/>
      <c r="BN195" s="1"/>
      <c r="BO195" s="1"/>
      <c r="BP195" s="1"/>
      <c r="BQ195" s="1"/>
      <c r="BR195" s="1"/>
      <c r="BS195" s="1"/>
      <c r="BT195" s="1"/>
      <c r="BU195" s="1"/>
      <c r="BV195" s="1"/>
      <c r="BW195" s="1"/>
      <c r="BX195" s="1"/>
      <c r="BY195" s="1"/>
      <c r="BZ195" s="1"/>
      <c r="CA195" s="1"/>
      <c r="CM195"/>
      <c r="CN195"/>
      <c r="CO195"/>
      <c r="CP195"/>
      <c r="CQ195"/>
      <c r="CR195"/>
    </row>
    <row r="196" spans="33:96">
      <c r="AG196" s="1"/>
      <c r="AH196" s="1"/>
      <c r="AI196" s="1"/>
      <c r="AJ196" s="1"/>
      <c r="AR196" s="1"/>
      <c r="AS196" s="1"/>
      <c r="AT196" s="1"/>
      <c r="AV196" s="1"/>
      <c r="BC196" s="1"/>
      <c r="BD196" s="1"/>
      <c r="BE196" s="1"/>
      <c r="BF196" s="1"/>
      <c r="BG196" s="1"/>
      <c r="BH196" s="1"/>
      <c r="BI196" s="1"/>
      <c r="BJ196" s="1"/>
      <c r="BK196" s="1"/>
      <c r="BL196" s="1"/>
      <c r="BM196" s="1"/>
      <c r="BN196" s="1"/>
      <c r="BO196" s="1"/>
      <c r="BP196" s="1"/>
      <c r="BQ196" s="1"/>
      <c r="BR196" s="1"/>
      <c r="BS196" s="1"/>
      <c r="BT196" s="1"/>
      <c r="BU196" s="1"/>
      <c r="BV196" s="1"/>
      <c r="BW196" s="1"/>
      <c r="BX196" s="1"/>
      <c r="BY196" s="1"/>
      <c r="BZ196" s="1"/>
      <c r="CA196" s="1"/>
      <c r="CM196"/>
      <c r="CN196"/>
      <c r="CO196"/>
      <c r="CP196"/>
      <c r="CQ196"/>
      <c r="CR196"/>
    </row>
    <row r="197" spans="33:96">
      <c r="AG197" s="1"/>
      <c r="AH197" s="1"/>
      <c r="AI197" s="1"/>
      <c r="AJ197" s="1"/>
      <c r="AR197" s="1"/>
      <c r="AS197" s="1"/>
      <c r="AT197" s="1"/>
      <c r="AV197" s="1"/>
      <c r="BC197" s="1"/>
      <c r="BD197" s="1"/>
      <c r="BE197" s="1"/>
      <c r="BF197" s="1"/>
      <c r="BG197" s="1"/>
      <c r="BH197" s="1"/>
      <c r="BI197" s="1"/>
      <c r="BJ197" s="1"/>
      <c r="BK197" s="1"/>
      <c r="BL197" s="1"/>
      <c r="BM197" s="1"/>
      <c r="BN197" s="1"/>
      <c r="BO197" s="1"/>
      <c r="BP197" s="1"/>
      <c r="BQ197" s="1"/>
      <c r="BR197" s="1"/>
      <c r="BS197" s="1"/>
      <c r="BT197" s="1"/>
      <c r="BU197" s="1"/>
      <c r="BV197" s="1"/>
      <c r="BW197" s="1"/>
      <c r="BX197" s="1"/>
      <c r="BY197" s="1"/>
      <c r="BZ197" s="1"/>
      <c r="CA197" s="1"/>
      <c r="CM197"/>
      <c r="CN197"/>
      <c r="CO197"/>
      <c r="CP197"/>
      <c r="CQ197"/>
      <c r="CR197"/>
    </row>
    <row r="198" spans="33:96">
      <c r="AG198" s="1"/>
      <c r="AH198" s="1"/>
      <c r="AI198" s="1"/>
      <c r="AJ198" s="1"/>
      <c r="AR198" s="1"/>
      <c r="AS198" s="1"/>
      <c r="AT198" s="1"/>
      <c r="AV198" s="1"/>
      <c r="BC198" s="1"/>
      <c r="BD198" s="1"/>
      <c r="BE198" s="1"/>
      <c r="BF198" s="1"/>
      <c r="BG198" s="1"/>
      <c r="BH198" s="1"/>
      <c r="BI198" s="1"/>
      <c r="BJ198" s="1"/>
      <c r="BK198" s="1"/>
      <c r="BL198" s="1"/>
      <c r="BM198" s="1"/>
      <c r="BN198" s="1"/>
      <c r="BO198" s="1"/>
      <c r="BP198" s="1"/>
      <c r="BQ198" s="1"/>
      <c r="BR198" s="1"/>
      <c r="BS198" s="1"/>
      <c r="BT198" s="1"/>
      <c r="BU198" s="1"/>
      <c r="BV198" s="1"/>
      <c r="BW198" s="1"/>
      <c r="BX198" s="1"/>
      <c r="BY198" s="1"/>
      <c r="BZ198" s="1"/>
      <c r="CA198" s="1"/>
      <c r="CM198"/>
      <c r="CN198"/>
      <c r="CO198"/>
      <c r="CP198"/>
      <c r="CQ198"/>
      <c r="CR198"/>
    </row>
    <row r="199" spans="33:96">
      <c r="AG199" s="1"/>
      <c r="AH199" s="1"/>
      <c r="AI199" s="1"/>
      <c r="AJ199" s="1"/>
      <c r="AR199" s="1"/>
      <c r="AS199" s="1"/>
      <c r="AT199" s="1"/>
      <c r="AV199" s="1"/>
      <c r="BC199" s="1"/>
      <c r="BD199" s="1"/>
      <c r="BE199" s="1"/>
      <c r="BF199" s="1"/>
      <c r="BG199" s="1"/>
      <c r="BH199" s="1"/>
      <c r="BI199" s="1"/>
      <c r="BJ199" s="1"/>
      <c r="BK199" s="1"/>
      <c r="BL199" s="1"/>
      <c r="BM199" s="1"/>
      <c r="BN199" s="1"/>
      <c r="BO199" s="1"/>
      <c r="BP199" s="1"/>
      <c r="BQ199" s="1"/>
      <c r="BR199" s="1"/>
      <c r="BS199" s="1"/>
      <c r="BT199" s="1"/>
      <c r="BU199" s="1"/>
      <c r="BV199" s="1"/>
      <c r="BW199" s="1"/>
      <c r="BX199" s="1"/>
      <c r="BY199" s="1"/>
      <c r="BZ199" s="1"/>
      <c r="CA199" s="1"/>
      <c r="CM199"/>
      <c r="CN199"/>
      <c r="CO199"/>
      <c r="CP199"/>
      <c r="CQ199"/>
      <c r="CR199"/>
    </row>
    <row r="200" spans="33:96">
      <c r="AG200" s="1"/>
      <c r="AH200" s="1"/>
      <c r="AI200" s="1"/>
      <c r="AJ200" s="1"/>
      <c r="AR200" s="1"/>
      <c r="AS200" s="1"/>
      <c r="AT200" s="1"/>
      <c r="AV200" s="1"/>
      <c r="BC200" s="1"/>
      <c r="BD200" s="1"/>
      <c r="BE200" s="1"/>
      <c r="BF200" s="1"/>
      <c r="BG200" s="1"/>
      <c r="BH200" s="1"/>
      <c r="BI200" s="1"/>
      <c r="BJ200" s="1"/>
      <c r="BK200" s="1"/>
      <c r="BL200" s="1"/>
      <c r="BM200" s="1"/>
      <c r="BN200" s="1"/>
      <c r="BO200" s="1"/>
      <c r="BP200" s="1"/>
      <c r="BQ200" s="1"/>
      <c r="BR200" s="1"/>
      <c r="BS200" s="1"/>
      <c r="BT200" s="1"/>
      <c r="BU200" s="1"/>
      <c r="BV200" s="1"/>
      <c r="BW200" s="1"/>
      <c r="BX200" s="1"/>
      <c r="BY200" s="1"/>
      <c r="BZ200" s="1"/>
      <c r="CA200" s="1"/>
      <c r="CM200"/>
      <c r="CN200"/>
      <c r="CO200"/>
      <c r="CP200"/>
      <c r="CQ200"/>
      <c r="CR200"/>
    </row>
    <row r="201" spans="33:96">
      <c r="AG201" s="1"/>
      <c r="AH201" s="1"/>
      <c r="AI201" s="1"/>
      <c r="AJ201" s="1"/>
      <c r="AR201" s="1"/>
      <c r="AS201" s="1"/>
      <c r="AT201" s="1"/>
      <c r="AV201" s="1"/>
      <c r="BC201" s="1"/>
      <c r="BD201" s="1"/>
      <c r="BE201" s="1"/>
      <c r="BF201" s="1"/>
      <c r="BG201" s="1"/>
      <c r="BH201" s="1"/>
      <c r="BI201" s="1"/>
      <c r="BJ201" s="1"/>
      <c r="BK201" s="1"/>
      <c r="BL201" s="1"/>
      <c r="BM201" s="1"/>
      <c r="BN201" s="1"/>
      <c r="BO201" s="1"/>
      <c r="BP201" s="1"/>
      <c r="BQ201" s="1"/>
      <c r="BR201" s="1"/>
      <c r="BS201" s="1"/>
      <c r="BT201" s="1"/>
      <c r="BU201" s="1"/>
      <c r="BV201" s="1"/>
      <c r="BW201" s="1"/>
      <c r="BX201" s="1"/>
      <c r="BY201" s="1"/>
      <c r="BZ201" s="1"/>
      <c r="CA201" s="1"/>
      <c r="CM201"/>
      <c r="CN201"/>
      <c r="CO201"/>
      <c r="CP201"/>
      <c r="CQ201"/>
      <c r="CR201"/>
    </row>
    <row r="202" spans="33:96">
      <c r="AG202" s="1"/>
      <c r="AH202" s="1"/>
      <c r="AI202" s="1"/>
      <c r="AJ202" s="1"/>
      <c r="AR202" s="1"/>
      <c r="AS202" s="1"/>
      <c r="AT202" s="1"/>
      <c r="AV202" s="1"/>
      <c r="BC202" s="1"/>
      <c r="BD202" s="1"/>
      <c r="BE202" s="1"/>
      <c r="BF202" s="1"/>
      <c r="BG202" s="1"/>
      <c r="BH202" s="1"/>
      <c r="BI202" s="1"/>
      <c r="BJ202" s="1"/>
      <c r="BK202" s="1"/>
      <c r="BL202" s="1"/>
      <c r="BM202" s="1"/>
      <c r="BN202" s="1"/>
      <c r="BO202" s="1"/>
      <c r="BP202" s="1"/>
      <c r="BQ202" s="1"/>
      <c r="BR202" s="1"/>
      <c r="BS202" s="1"/>
      <c r="BT202" s="1"/>
      <c r="BU202" s="1"/>
      <c r="BV202" s="1"/>
      <c r="BW202" s="1"/>
      <c r="BX202" s="1"/>
      <c r="BY202" s="1"/>
      <c r="BZ202" s="1"/>
      <c r="CA202" s="1"/>
      <c r="CM202"/>
      <c r="CN202"/>
      <c r="CO202"/>
      <c r="CP202"/>
      <c r="CQ202"/>
      <c r="CR202"/>
    </row>
    <row r="203" spans="33:96">
      <c r="AG203" s="1"/>
      <c r="AH203" s="1"/>
      <c r="AI203" s="1"/>
      <c r="AJ203" s="1"/>
      <c r="AR203" s="1"/>
      <c r="AS203" s="1"/>
      <c r="AT203" s="1"/>
      <c r="AV203" s="1"/>
      <c r="BC203" s="1"/>
      <c r="BD203" s="1"/>
      <c r="BE203" s="1"/>
      <c r="BF203" s="1"/>
      <c r="BG203" s="1"/>
      <c r="BH203" s="1"/>
      <c r="BI203" s="1"/>
      <c r="BJ203" s="1"/>
      <c r="BK203" s="1"/>
      <c r="BL203" s="1"/>
      <c r="BM203" s="1"/>
      <c r="BN203" s="1"/>
      <c r="BO203" s="1"/>
      <c r="BP203" s="1"/>
      <c r="BQ203" s="1"/>
      <c r="BR203" s="1"/>
      <c r="BS203" s="1"/>
      <c r="BT203" s="1"/>
      <c r="BU203" s="1"/>
      <c r="BV203" s="1"/>
      <c r="BW203" s="1"/>
      <c r="BX203" s="1"/>
      <c r="BY203" s="1"/>
      <c r="BZ203" s="1"/>
      <c r="CA203" s="1"/>
      <c r="CM203"/>
      <c r="CN203"/>
      <c r="CO203"/>
      <c r="CP203"/>
      <c r="CQ203"/>
      <c r="CR203"/>
    </row>
    <row r="204" spans="33:96">
      <c r="AG204" s="1"/>
      <c r="AH204" s="1"/>
      <c r="AI204" s="1"/>
      <c r="AJ204" s="1"/>
      <c r="AR204" s="1"/>
      <c r="AS204" s="1"/>
      <c r="AT204" s="1"/>
      <c r="AV204" s="1"/>
      <c r="BC204" s="1"/>
      <c r="BD204" s="1"/>
      <c r="BE204" s="1"/>
      <c r="BF204" s="1"/>
      <c r="BG204" s="1"/>
      <c r="BH204" s="1"/>
      <c r="BI204" s="1"/>
      <c r="BJ204" s="1"/>
      <c r="BK204" s="1"/>
      <c r="BL204" s="1"/>
      <c r="BM204" s="1"/>
      <c r="BN204" s="1"/>
      <c r="BO204" s="1"/>
      <c r="BP204" s="1"/>
      <c r="BQ204" s="1"/>
      <c r="BR204" s="1"/>
      <c r="BS204" s="1"/>
      <c r="BT204" s="1"/>
      <c r="BU204" s="1"/>
      <c r="BV204" s="1"/>
      <c r="BW204" s="1"/>
      <c r="BX204" s="1"/>
      <c r="BY204" s="1"/>
      <c r="BZ204" s="1"/>
      <c r="CA204" s="1"/>
      <c r="CM204"/>
      <c r="CN204"/>
      <c r="CO204"/>
      <c r="CP204"/>
      <c r="CQ204"/>
      <c r="CR204"/>
    </row>
    <row r="205" spans="33:96">
      <c r="AG205" s="1"/>
      <c r="AH205" s="1"/>
      <c r="AI205" s="1"/>
      <c r="AJ205" s="1"/>
      <c r="AR205" s="1"/>
      <c r="AS205" s="1"/>
      <c r="AT205" s="1"/>
      <c r="AV205" s="1"/>
      <c r="BC205" s="1"/>
      <c r="BD205" s="1"/>
      <c r="BE205" s="1"/>
      <c r="BF205" s="1"/>
      <c r="BG205" s="1"/>
      <c r="BH205" s="1"/>
      <c r="BI205" s="1"/>
      <c r="BJ205" s="1"/>
      <c r="BK205" s="1"/>
      <c r="BL205" s="1"/>
      <c r="BM205" s="1"/>
      <c r="BN205" s="1"/>
      <c r="BO205" s="1"/>
      <c r="BP205" s="1"/>
      <c r="BQ205" s="1"/>
      <c r="BR205" s="1"/>
      <c r="BS205" s="1"/>
      <c r="BT205" s="1"/>
      <c r="BU205" s="1"/>
      <c r="BV205" s="1"/>
      <c r="BW205" s="1"/>
      <c r="BX205" s="1"/>
      <c r="BY205" s="1"/>
      <c r="BZ205" s="1"/>
      <c r="CA205" s="1"/>
      <c r="CM205"/>
      <c r="CN205"/>
      <c r="CO205"/>
      <c r="CP205"/>
      <c r="CQ205"/>
      <c r="CR205"/>
    </row>
    <row r="206" spans="33:96">
      <c r="AG206" s="1"/>
      <c r="AH206" s="1"/>
      <c r="AI206" s="1"/>
      <c r="AJ206" s="1"/>
      <c r="AR206" s="1"/>
      <c r="AS206" s="1"/>
      <c r="AT206" s="1"/>
      <c r="AV206" s="1"/>
      <c r="BC206" s="1"/>
      <c r="BD206" s="1"/>
      <c r="BE206" s="1"/>
      <c r="BF206" s="1"/>
      <c r="BG206" s="1"/>
      <c r="BH206" s="1"/>
      <c r="BI206" s="1"/>
      <c r="BJ206" s="1"/>
      <c r="BK206" s="1"/>
      <c r="BL206" s="1"/>
      <c r="BM206" s="1"/>
      <c r="BN206" s="1"/>
      <c r="BO206" s="1"/>
      <c r="BP206" s="1"/>
      <c r="BQ206" s="1"/>
      <c r="BR206" s="1"/>
      <c r="BS206" s="1"/>
      <c r="BT206" s="1"/>
      <c r="BU206" s="1"/>
      <c r="BV206" s="1"/>
      <c r="BW206" s="1"/>
      <c r="BX206" s="1"/>
      <c r="BY206" s="1"/>
      <c r="BZ206" s="1"/>
      <c r="CA206" s="1"/>
      <c r="CM206"/>
      <c r="CN206"/>
      <c r="CO206"/>
      <c r="CP206"/>
      <c r="CQ206"/>
      <c r="CR206"/>
    </row>
    <row r="207" spans="33:96">
      <c r="AG207" s="1"/>
      <c r="AH207" s="1"/>
      <c r="AI207" s="1"/>
      <c r="AJ207" s="1"/>
      <c r="AR207" s="1"/>
      <c r="AS207" s="1"/>
      <c r="AT207" s="1"/>
      <c r="AV207" s="1"/>
      <c r="BC207" s="1"/>
      <c r="BD207" s="1"/>
      <c r="BE207" s="1"/>
      <c r="BF207" s="1"/>
      <c r="BG207" s="1"/>
      <c r="BH207" s="1"/>
      <c r="BI207" s="1"/>
      <c r="BJ207" s="1"/>
      <c r="BK207" s="1"/>
      <c r="BL207" s="1"/>
      <c r="BM207" s="1"/>
      <c r="BN207" s="1"/>
      <c r="BO207" s="1"/>
      <c r="BP207" s="1"/>
      <c r="BQ207" s="1"/>
      <c r="BR207" s="1"/>
      <c r="BS207" s="1"/>
      <c r="BT207" s="1"/>
      <c r="BU207" s="1"/>
      <c r="BV207" s="1"/>
      <c r="BW207" s="1"/>
      <c r="BX207" s="1"/>
      <c r="BY207" s="1"/>
      <c r="BZ207" s="1"/>
      <c r="CA207" s="1"/>
      <c r="CM207"/>
      <c r="CN207"/>
      <c r="CO207"/>
      <c r="CP207"/>
      <c r="CQ207"/>
      <c r="CR207"/>
    </row>
    <row r="208" spans="33:96">
      <c r="AG208" s="1"/>
      <c r="AH208" s="1"/>
      <c r="AI208" s="1"/>
      <c r="AJ208" s="1"/>
      <c r="AR208" s="1"/>
      <c r="AS208" s="1"/>
      <c r="AT208" s="1"/>
      <c r="AV208" s="1"/>
      <c r="BC208" s="1"/>
      <c r="BD208" s="1"/>
      <c r="BE208" s="1"/>
      <c r="BF208" s="1"/>
      <c r="BG208" s="1"/>
      <c r="BH208" s="1"/>
      <c r="BI208" s="1"/>
      <c r="BJ208" s="1"/>
      <c r="BK208" s="1"/>
      <c r="BL208" s="1"/>
      <c r="BM208" s="1"/>
      <c r="BN208" s="1"/>
      <c r="BO208" s="1"/>
      <c r="BP208" s="1"/>
      <c r="BQ208" s="1"/>
      <c r="BR208" s="1"/>
      <c r="BS208" s="1"/>
      <c r="BT208" s="1"/>
      <c r="BU208" s="1"/>
      <c r="BV208" s="1"/>
      <c r="BW208" s="1"/>
      <c r="BX208" s="1"/>
      <c r="BY208" s="1"/>
      <c r="BZ208" s="1"/>
      <c r="CA208" s="1"/>
      <c r="CM208"/>
      <c r="CN208"/>
      <c r="CO208"/>
      <c r="CP208"/>
      <c r="CQ208"/>
      <c r="CR208"/>
    </row>
    <row r="209" spans="33:96">
      <c r="AG209" s="1"/>
      <c r="AH209" s="1"/>
      <c r="AI209" s="1"/>
      <c r="AJ209" s="1"/>
      <c r="AR209" s="1"/>
      <c r="AS209" s="1"/>
      <c r="AT209" s="1"/>
      <c r="AV209" s="1"/>
      <c r="BC209" s="1"/>
      <c r="BD209" s="1"/>
      <c r="BE209" s="1"/>
      <c r="BF209" s="1"/>
      <c r="BG209" s="1"/>
      <c r="BH209" s="1"/>
      <c r="BI209" s="1"/>
      <c r="BJ209" s="1"/>
      <c r="BK209" s="1"/>
      <c r="BL209" s="1"/>
      <c r="BM209" s="1"/>
      <c r="BN209" s="1"/>
      <c r="BO209" s="1"/>
      <c r="BP209" s="1"/>
      <c r="BQ209" s="1"/>
      <c r="BR209" s="1"/>
      <c r="BS209" s="1"/>
      <c r="BT209" s="1"/>
      <c r="BU209" s="1"/>
      <c r="BV209" s="1"/>
      <c r="BW209" s="1"/>
      <c r="BX209" s="1"/>
      <c r="BY209" s="1"/>
      <c r="BZ209" s="1"/>
      <c r="CA209" s="1"/>
      <c r="CM209"/>
      <c r="CN209"/>
      <c r="CO209"/>
      <c r="CP209"/>
      <c r="CQ209"/>
      <c r="CR209"/>
    </row>
    <row r="210" spans="33:96">
      <c r="AG210" s="1"/>
      <c r="AH210" s="1"/>
      <c r="AI210" s="1"/>
      <c r="AJ210" s="1"/>
      <c r="AR210" s="1"/>
      <c r="AS210" s="1"/>
      <c r="AT210" s="1"/>
      <c r="AV210" s="1"/>
      <c r="BC210" s="1"/>
      <c r="BD210" s="1"/>
      <c r="BE210" s="1"/>
      <c r="BF210" s="1"/>
      <c r="BG210" s="1"/>
      <c r="BH210" s="1"/>
      <c r="BI210" s="1"/>
      <c r="BJ210" s="1"/>
      <c r="BK210" s="1"/>
      <c r="BL210" s="1"/>
      <c r="BM210" s="1"/>
      <c r="BN210" s="1"/>
      <c r="BO210" s="1"/>
      <c r="BP210" s="1"/>
      <c r="BQ210" s="1"/>
      <c r="BR210" s="1"/>
      <c r="BS210" s="1"/>
      <c r="BT210" s="1"/>
      <c r="BU210" s="1"/>
      <c r="BV210" s="1"/>
      <c r="BW210" s="1"/>
      <c r="BX210" s="1"/>
      <c r="BY210" s="1"/>
      <c r="BZ210" s="1"/>
      <c r="CA210" s="1"/>
      <c r="CM210"/>
      <c r="CN210"/>
      <c r="CO210"/>
      <c r="CP210"/>
      <c r="CQ210"/>
      <c r="CR210"/>
    </row>
    <row r="211" spans="33:96">
      <c r="AG211" s="1"/>
      <c r="AH211" s="1"/>
      <c r="AI211" s="1"/>
      <c r="AJ211" s="1"/>
      <c r="AR211" s="1"/>
      <c r="AS211" s="1"/>
      <c r="AT211" s="1"/>
      <c r="AV211" s="1"/>
      <c r="BC211" s="1"/>
      <c r="BD211" s="1"/>
      <c r="BE211" s="1"/>
      <c r="BF211" s="1"/>
      <c r="BG211" s="1"/>
      <c r="BH211" s="1"/>
      <c r="BI211" s="1"/>
      <c r="BJ211" s="1"/>
      <c r="BK211" s="1"/>
      <c r="BL211" s="1"/>
      <c r="BM211" s="1"/>
      <c r="BN211" s="1"/>
      <c r="BO211" s="1"/>
      <c r="BP211" s="1"/>
      <c r="BQ211" s="1"/>
      <c r="BR211" s="1"/>
      <c r="BS211" s="1"/>
      <c r="BT211" s="1"/>
      <c r="BU211" s="1"/>
      <c r="BV211" s="1"/>
      <c r="BW211" s="1"/>
      <c r="BX211" s="1"/>
      <c r="BY211" s="1"/>
      <c r="BZ211" s="1"/>
      <c r="CA211" s="1"/>
      <c r="CM211"/>
      <c r="CN211"/>
      <c r="CO211"/>
      <c r="CP211"/>
      <c r="CQ211"/>
      <c r="CR211"/>
    </row>
    <row r="212" spans="33:96">
      <c r="AG212" s="1"/>
      <c r="AH212" s="1"/>
      <c r="AI212" s="1"/>
      <c r="AJ212" s="1"/>
      <c r="AR212" s="1"/>
      <c r="AS212" s="1"/>
      <c r="AT212" s="1"/>
      <c r="AV212" s="1"/>
      <c r="BC212" s="1"/>
      <c r="BD212" s="1"/>
      <c r="BE212" s="1"/>
      <c r="BF212" s="1"/>
      <c r="BG212" s="1"/>
      <c r="BH212" s="1"/>
      <c r="BI212" s="1"/>
      <c r="BJ212" s="1"/>
      <c r="BK212" s="1"/>
      <c r="BL212" s="1"/>
      <c r="BM212" s="1"/>
      <c r="BN212" s="1"/>
      <c r="BO212" s="1"/>
      <c r="BP212" s="1"/>
      <c r="BQ212" s="1"/>
      <c r="BR212" s="1"/>
      <c r="BS212" s="1"/>
      <c r="BT212" s="1"/>
      <c r="BU212" s="1"/>
      <c r="BV212" s="1"/>
      <c r="BW212" s="1"/>
      <c r="BX212" s="1"/>
      <c r="BY212" s="1"/>
      <c r="BZ212" s="1"/>
      <c r="CA212" s="1"/>
      <c r="CM212"/>
      <c r="CN212"/>
      <c r="CO212"/>
      <c r="CP212"/>
      <c r="CQ212"/>
      <c r="CR212"/>
    </row>
    <row r="213" spans="33:96">
      <c r="AG213" s="1"/>
      <c r="AH213" s="1"/>
      <c r="AI213" s="1"/>
      <c r="AJ213" s="1"/>
      <c r="AR213" s="1"/>
      <c r="AS213" s="1"/>
      <c r="AT213" s="1"/>
      <c r="AV213" s="1"/>
      <c r="BC213" s="1"/>
      <c r="BD213" s="1"/>
      <c r="BE213" s="1"/>
      <c r="BF213" s="1"/>
      <c r="BG213" s="1"/>
      <c r="BH213" s="1"/>
      <c r="BI213" s="1"/>
      <c r="BJ213" s="1"/>
      <c r="BK213" s="1"/>
      <c r="BL213" s="1"/>
      <c r="BM213" s="1"/>
      <c r="BN213" s="1"/>
      <c r="BO213" s="1"/>
      <c r="BP213" s="1"/>
      <c r="BQ213" s="1"/>
      <c r="BR213" s="1"/>
      <c r="BS213" s="1"/>
      <c r="BT213" s="1"/>
      <c r="BU213" s="1"/>
      <c r="BV213" s="1"/>
      <c r="BW213" s="1"/>
      <c r="BX213" s="1"/>
      <c r="BY213" s="1"/>
      <c r="BZ213" s="1"/>
      <c r="CA213" s="1"/>
      <c r="CM213"/>
      <c r="CN213"/>
      <c r="CO213"/>
      <c r="CP213"/>
      <c r="CQ213"/>
      <c r="CR213"/>
    </row>
    <row r="214" spans="33:96">
      <c r="AG214" s="1"/>
      <c r="AH214" s="1"/>
      <c r="AI214" s="1"/>
      <c r="AJ214" s="1"/>
      <c r="AR214" s="1"/>
      <c r="AS214" s="1"/>
      <c r="AT214" s="1"/>
      <c r="AV214" s="1"/>
      <c r="BC214" s="1"/>
      <c r="BD214" s="1"/>
      <c r="BE214" s="1"/>
      <c r="BF214" s="1"/>
      <c r="BG214" s="1"/>
      <c r="BH214" s="1"/>
      <c r="BI214" s="1"/>
      <c r="BJ214" s="1"/>
      <c r="BK214" s="1"/>
      <c r="BL214" s="1"/>
      <c r="BM214" s="1"/>
      <c r="BN214" s="1"/>
      <c r="BO214" s="1"/>
      <c r="BP214" s="1"/>
      <c r="BQ214" s="1"/>
      <c r="BR214" s="1"/>
      <c r="BS214" s="1"/>
      <c r="BT214" s="1"/>
      <c r="BU214" s="1"/>
      <c r="BV214" s="1"/>
      <c r="BW214" s="1"/>
      <c r="BX214" s="1"/>
      <c r="BY214" s="1"/>
      <c r="BZ214" s="1"/>
      <c r="CA214" s="1"/>
      <c r="CM214"/>
      <c r="CN214"/>
      <c r="CO214"/>
      <c r="CP214"/>
      <c r="CQ214"/>
      <c r="CR214"/>
    </row>
    <row r="215" spans="33:96">
      <c r="AG215" s="1"/>
      <c r="AH215" s="1"/>
      <c r="AI215" s="1"/>
      <c r="AJ215" s="1"/>
      <c r="AR215" s="1"/>
      <c r="AS215" s="1"/>
      <c r="AT215" s="1"/>
      <c r="AV215" s="1"/>
      <c r="BC215" s="1"/>
      <c r="BD215" s="1"/>
      <c r="BE215" s="1"/>
      <c r="BF215" s="1"/>
      <c r="BG215" s="1"/>
      <c r="BH215" s="1"/>
      <c r="BI215" s="1"/>
      <c r="BJ215" s="1"/>
      <c r="BK215" s="1"/>
      <c r="BL215" s="1"/>
      <c r="BM215" s="1"/>
      <c r="BN215" s="1"/>
      <c r="BO215" s="1"/>
      <c r="BP215" s="1"/>
      <c r="BQ215" s="1"/>
      <c r="BR215" s="1"/>
      <c r="BS215" s="1"/>
      <c r="BT215" s="1"/>
      <c r="BU215" s="1"/>
      <c r="BV215" s="1"/>
      <c r="BW215" s="1"/>
      <c r="BX215" s="1"/>
      <c r="BY215" s="1"/>
      <c r="BZ215" s="1"/>
      <c r="CA215" s="1"/>
      <c r="CM215"/>
      <c r="CN215"/>
      <c r="CO215"/>
      <c r="CP215"/>
      <c r="CQ215"/>
      <c r="CR215"/>
    </row>
    <row r="216" spans="33:96">
      <c r="AG216" s="1"/>
      <c r="AH216" s="1"/>
      <c r="AI216" s="1"/>
      <c r="AJ216" s="1"/>
      <c r="AR216" s="1"/>
      <c r="AS216" s="1"/>
      <c r="AT216" s="1"/>
      <c r="AV216" s="1"/>
      <c r="BC216" s="1"/>
      <c r="BD216" s="1"/>
      <c r="BE216" s="1"/>
      <c r="BF216" s="1"/>
      <c r="BG216" s="1"/>
      <c r="BH216" s="1"/>
      <c r="BI216" s="1"/>
      <c r="BJ216" s="1"/>
      <c r="BK216" s="1"/>
      <c r="BL216" s="1"/>
      <c r="BM216" s="1"/>
      <c r="BN216" s="1"/>
      <c r="BO216" s="1"/>
      <c r="BP216" s="1"/>
      <c r="BQ216" s="1"/>
      <c r="BR216" s="1"/>
      <c r="BS216" s="1"/>
      <c r="BT216" s="1"/>
      <c r="BU216" s="1"/>
      <c r="BV216" s="1"/>
      <c r="BW216" s="1"/>
      <c r="BX216" s="1"/>
      <c r="BY216" s="1"/>
      <c r="BZ216" s="1"/>
      <c r="CA216" s="1"/>
      <c r="CM216"/>
      <c r="CN216"/>
      <c r="CO216"/>
      <c r="CP216"/>
      <c r="CQ216"/>
      <c r="CR216"/>
    </row>
    <row r="217" spans="33:96">
      <c r="AG217" s="1"/>
      <c r="AH217" s="1"/>
      <c r="AI217" s="1"/>
      <c r="AJ217" s="1"/>
      <c r="AR217" s="1"/>
      <c r="AS217" s="1"/>
      <c r="AT217" s="1"/>
      <c r="AV217" s="1"/>
      <c r="BC217" s="1"/>
      <c r="BD217" s="1"/>
      <c r="BE217" s="1"/>
      <c r="BF217" s="1"/>
      <c r="BG217" s="1"/>
      <c r="BH217" s="1"/>
      <c r="BI217" s="1"/>
      <c r="BJ217" s="1"/>
      <c r="BK217" s="1"/>
      <c r="BL217" s="1"/>
      <c r="BM217" s="1"/>
      <c r="BN217" s="1"/>
      <c r="BO217" s="1"/>
      <c r="BP217" s="1"/>
      <c r="BQ217" s="1"/>
      <c r="BR217" s="1"/>
      <c r="BS217" s="1"/>
      <c r="BT217" s="1"/>
      <c r="BU217" s="1"/>
      <c r="BV217" s="1"/>
      <c r="BW217" s="1"/>
      <c r="BX217" s="1"/>
      <c r="BY217" s="1"/>
      <c r="BZ217" s="1"/>
      <c r="CA217" s="1"/>
      <c r="CM217"/>
      <c r="CN217"/>
      <c r="CO217"/>
      <c r="CP217"/>
      <c r="CQ217"/>
      <c r="CR217"/>
    </row>
    <row r="218" spans="33:96">
      <c r="AG218" s="1"/>
      <c r="AH218" s="1"/>
      <c r="AI218" s="1"/>
      <c r="AJ218" s="1"/>
      <c r="AR218" s="1"/>
      <c r="AS218" s="1"/>
      <c r="AT218" s="1"/>
      <c r="AV218" s="1"/>
      <c r="BC218" s="1"/>
      <c r="BD218" s="1"/>
      <c r="BE218" s="1"/>
      <c r="BF218" s="1"/>
      <c r="BG218" s="1"/>
      <c r="BH218" s="1"/>
      <c r="BI218" s="1"/>
      <c r="BJ218" s="1"/>
      <c r="BK218" s="1"/>
      <c r="BL218" s="1"/>
      <c r="BM218" s="1"/>
      <c r="BN218" s="1"/>
      <c r="BO218" s="1"/>
      <c r="BP218" s="1"/>
      <c r="BQ218" s="1"/>
      <c r="BR218" s="1"/>
      <c r="BS218" s="1"/>
      <c r="BT218" s="1"/>
      <c r="BU218" s="1"/>
      <c r="BV218" s="1"/>
      <c r="BW218" s="1"/>
      <c r="BX218" s="1"/>
      <c r="BY218" s="1"/>
      <c r="BZ218" s="1"/>
      <c r="CA218" s="1"/>
      <c r="CM218"/>
      <c r="CN218"/>
      <c r="CO218"/>
      <c r="CP218"/>
      <c r="CQ218"/>
      <c r="CR218"/>
    </row>
    <row r="219" spans="33:96">
      <c r="AG219" s="1"/>
      <c r="AH219" s="1"/>
      <c r="AI219" s="1"/>
      <c r="AJ219" s="1"/>
      <c r="AR219" s="1"/>
      <c r="AS219" s="1"/>
      <c r="AT219" s="1"/>
      <c r="AV219" s="1"/>
      <c r="BC219" s="1"/>
      <c r="BD219" s="1"/>
      <c r="BE219" s="1"/>
      <c r="BF219" s="1"/>
      <c r="BG219" s="1"/>
      <c r="BH219" s="1"/>
      <c r="BI219" s="1"/>
      <c r="BJ219" s="1"/>
      <c r="BK219" s="1"/>
      <c r="BL219" s="1"/>
      <c r="BM219" s="1"/>
      <c r="BN219" s="1"/>
      <c r="BO219" s="1"/>
      <c r="BP219" s="1"/>
      <c r="BQ219" s="1"/>
      <c r="BR219" s="1"/>
      <c r="BS219" s="1"/>
      <c r="BT219" s="1"/>
      <c r="BU219" s="1"/>
      <c r="BV219" s="1"/>
      <c r="BW219" s="1"/>
      <c r="BX219" s="1"/>
      <c r="BY219" s="1"/>
      <c r="BZ219" s="1"/>
      <c r="CA219" s="1"/>
      <c r="CM219"/>
      <c r="CN219"/>
      <c r="CO219"/>
      <c r="CP219"/>
      <c r="CQ219"/>
      <c r="CR219"/>
    </row>
    <row r="220" spans="33:96">
      <c r="AG220" s="1"/>
      <c r="AH220" s="1"/>
      <c r="AI220" s="1"/>
      <c r="AJ220" s="1"/>
      <c r="AR220" s="1"/>
      <c r="AS220" s="1"/>
      <c r="AT220" s="1"/>
      <c r="AV220" s="1"/>
      <c r="BC220" s="1"/>
      <c r="BD220" s="1"/>
      <c r="BE220" s="1"/>
      <c r="BF220" s="1"/>
      <c r="BG220" s="1"/>
      <c r="BH220" s="1"/>
      <c r="BI220" s="1"/>
      <c r="BJ220" s="1"/>
      <c r="BK220" s="1"/>
      <c r="BL220" s="1"/>
      <c r="BM220" s="1"/>
      <c r="BN220" s="1"/>
      <c r="BO220" s="1"/>
      <c r="BP220" s="1"/>
      <c r="BQ220" s="1"/>
      <c r="BR220" s="1"/>
      <c r="BS220" s="1"/>
      <c r="BT220" s="1"/>
      <c r="BU220" s="1"/>
      <c r="BV220" s="1"/>
      <c r="BW220" s="1"/>
      <c r="BX220" s="1"/>
      <c r="BY220" s="1"/>
      <c r="BZ220" s="1"/>
      <c r="CA220" s="1"/>
      <c r="CM220"/>
      <c r="CN220"/>
      <c r="CO220"/>
      <c r="CP220"/>
      <c r="CQ220"/>
      <c r="CR220"/>
    </row>
    <row r="221" spans="33:96">
      <c r="AG221" s="1"/>
      <c r="AH221" s="1"/>
      <c r="AI221" s="1"/>
      <c r="AJ221" s="1"/>
      <c r="AR221" s="1"/>
      <c r="AS221" s="1"/>
      <c r="AT221" s="1"/>
      <c r="AV221" s="1"/>
      <c r="BC221" s="1"/>
      <c r="BD221" s="1"/>
      <c r="BE221" s="1"/>
      <c r="BF221" s="1"/>
      <c r="BG221" s="1"/>
      <c r="BH221" s="1"/>
      <c r="BI221" s="1"/>
      <c r="BJ221" s="1"/>
      <c r="BK221" s="1"/>
      <c r="BL221" s="1"/>
      <c r="BM221" s="1"/>
      <c r="BN221" s="1"/>
      <c r="BO221" s="1"/>
      <c r="BP221" s="1"/>
      <c r="BQ221" s="1"/>
      <c r="BR221" s="1"/>
      <c r="BS221" s="1"/>
      <c r="BT221" s="1"/>
      <c r="BU221" s="1"/>
      <c r="BV221" s="1"/>
      <c r="BW221" s="1"/>
      <c r="BX221" s="1"/>
      <c r="BY221" s="1"/>
      <c r="BZ221" s="1"/>
      <c r="CA221" s="1"/>
      <c r="CM221"/>
      <c r="CN221"/>
      <c r="CO221"/>
      <c r="CP221"/>
      <c r="CQ221"/>
      <c r="CR221"/>
    </row>
    <row r="222" spans="33:96">
      <c r="AG222" s="1"/>
      <c r="AH222" s="1"/>
      <c r="AI222" s="1"/>
      <c r="AJ222" s="1"/>
      <c r="AR222" s="1"/>
      <c r="AS222" s="1"/>
      <c r="AT222" s="1"/>
      <c r="AV222" s="1"/>
      <c r="BC222" s="1"/>
      <c r="BD222" s="1"/>
      <c r="BE222" s="1"/>
      <c r="BF222" s="1"/>
      <c r="BG222" s="1"/>
      <c r="BH222" s="1"/>
      <c r="BI222" s="1"/>
      <c r="BJ222" s="1"/>
      <c r="BK222" s="1"/>
      <c r="BL222" s="1"/>
      <c r="BM222" s="1"/>
      <c r="BN222" s="1"/>
      <c r="BO222" s="1"/>
      <c r="BP222" s="1"/>
      <c r="BQ222" s="1"/>
      <c r="BR222" s="1"/>
      <c r="BS222" s="1"/>
      <c r="BT222" s="1"/>
      <c r="BU222" s="1"/>
      <c r="BV222" s="1"/>
      <c r="BW222" s="1"/>
      <c r="BX222" s="1"/>
      <c r="BY222" s="1"/>
      <c r="BZ222" s="1"/>
      <c r="CA222" s="1"/>
      <c r="CM222"/>
      <c r="CN222"/>
      <c r="CO222"/>
      <c r="CP222"/>
      <c r="CQ222"/>
      <c r="CR222"/>
    </row>
    <row r="223" spans="33:96">
      <c r="AG223" s="1"/>
      <c r="AH223" s="1"/>
      <c r="AI223" s="1"/>
      <c r="AJ223" s="1"/>
      <c r="AR223" s="1"/>
      <c r="AS223" s="1"/>
      <c r="AT223" s="1"/>
      <c r="AV223" s="1"/>
      <c r="BC223" s="1"/>
      <c r="BD223" s="1"/>
      <c r="BE223" s="1"/>
      <c r="BF223" s="1"/>
      <c r="BG223" s="1"/>
      <c r="BH223" s="1"/>
      <c r="BI223" s="1"/>
      <c r="BJ223" s="1"/>
      <c r="BK223" s="1"/>
      <c r="BL223" s="1"/>
      <c r="BM223" s="1"/>
      <c r="BN223" s="1"/>
      <c r="BO223" s="1"/>
      <c r="BP223" s="1"/>
      <c r="BQ223" s="1"/>
      <c r="BR223" s="1"/>
      <c r="BS223" s="1"/>
      <c r="BT223" s="1"/>
      <c r="BU223" s="1"/>
      <c r="BV223" s="1"/>
      <c r="BW223" s="1"/>
      <c r="BX223" s="1"/>
      <c r="BY223" s="1"/>
      <c r="BZ223" s="1"/>
      <c r="CA223" s="1"/>
      <c r="CM223"/>
      <c r="CN223"/>
      <c r="CO223"/>
      <c r="CP223"/>
      <c r="CQ223"/>
      <c r="CR223"/>
    </row>
    <row r="224" spans="33:96">
      <c r="AG224" s="1"/>
      <c r="AH224" s="1"/>
      <c r="AI224" s="1"/>
      <c r="AJ224" s="1"/>
      <c r="AR224" s="1"/>
      <c r="AS224" s="1"/>
      <c r="AT224" s="1"/>
      <c r="AV224" s="1"/>
      <c r="BC224" s="1"/>
      <c r="BD224" s="1"/>
      <c r="BE224" s="1"/>
      <c r="BF224" s="1"/>
      <c r="BG224" s="1"/>
      <c r="BH224" s="1"/>
      <c r="BI224" s="1"/>
      <c r="BJ224" s="1"/>
      <c r="BK224" s="1"/>
      <c r="BL224" s="1"/>
      <c r="BM224" s="1"/>
      <c r="BN224" s="1"/>
      <c r="BO224" s="1"/>
      <c r="BP224" s="1"/>
      <c r="BQ224" s="1"/>
      <c r="BR224" s="1"/>
      <c r="BS224" s="1"/>
      <c r="BT224" s="1"/>
      <c r="BU224" s="1"/>
      <c r="BV224" s="1"/>
      <c r="BW224" s="1"/>
      <c r="BX224" s="1"/>
      <c r="BY224" s="1"/>
      <c r="BZ224" s="1"/>
      <c r="CA224" s="1"/>
      <c r="CM224"/>
      <c r="CN224"/>
      <c r="CO224"/>
      <c r="CP224"/>
      <c r="CQ224"/>
      <c r="CR224"/>
    </row>
    <row r="225" spans="33:96">
      <c r="AG225" s="1"/>
      <c r="AH225" s="1"/>
      <c r="AI225" s="1"/>
      <c r="AJ225" s="1"/>
      <c r="AR225" s="1"/>
      <c r="AS225" s="1"/>
      <c r="AT225" s="1"/>
      <c r="AV225" s="1"/>
      <c r="BC225" s="1"/>
      <c r="BD225" s="1"/>
      <c r="BE225" s="1"/>
      <c r="BF225" s="1"/>
      <c r="BG225" s="1"/>
      <c r="BH225" s="1"/>
      <c r="BI225" s="1"/>
      <c r="BJ225" s="1"/>
      <c r="BK225" s="1"/>
      <c r="BL225" s="1"/>
      <c r="BM225" s="1"/>
      <c r="BN225" s="1"/>
      <c r="BO225" s="1"/>
      <c r="BP225" s="1"/>
      <c r="BQ225" s="1"/>
      <c r="BR225" s="1"/>
      <c r="BS225" s="1"/>
      <c r="BT225" s="1"/>
      <c r="BU225" s="1"/>
      <c r="BV225" s="1"/>
      <c r="BW225" s="1"/>
      <c r="BX225" s="1"/>
      <c r="BY225" s="1"/>
      <c r="BZ225" s="1"/>
      <c r="CA225" s="1"/>
      <c r="CM225"/>
      <c r="CN225"/>
      <c r="CO225"/>
      <c r="CP225"/>
      <c r="CQ225"/>
      <c r="CR225"/>
    </row>
    <row r="226" spans="33:96">
      <c r="AG226" s="1"/>
      <c r="AH226" s="1"/>
      <c r="AI226" s="1"/>
      <c r="AJ226" s="1"/>
      <c r="AR226" s="1"/>
      <c r="AS226" s="1"/>
      <c r="AT226" s="1"/>
      <c r="AV226" s="1"/>
      <c r="BC226" s="1"/>
      <c r="BD226" s="1"/>
      <c r="BE226" s="1"/>
      <c r="BF226" s="1"/>
      <c r="BG226" s="1"/>
      <c r="BH226" s="1"/>
      <c r="BI226" s="1"/>
      <c r="BJ226" s="1"/>
      <c r="BK226" s="1"/>
      <c r="BL226" s="1"/>
      <c r="BM226" s="1"/>
      <c r="BN226" s="1"/>
      <c r="BO226" s="1"/>
      <c r="BP226" s="1"/>
      <c r="BQ226" s="1"/>
      <c r="BR226" s="1"/>
      <c r="BS226" s="1"/>
      <c r="BT226" s="1"/>
      <c r="BU226" s="1"/>
      <c r="BV226" s="1"/>
      <c r="BW226" s="1"/>
      <c r="BX226" s="1"/>
      <c r="BY226" s="1"/>
      <c r="BZ226" s="1"/>
      <c r="CA226" s="1"/>
      <c r="CM226"/>
      <c r="CN226"/>
      <c r="CO226"/>
      <c r="CP226"/>
      <c r="CQ226"/>
      <c r="CR226"/>
    </row>
    <row r="227" spans="33:96">
      <c r="AG227" s="1"/>
      <c r="AH227" s="1"/>
      <c r="AI227" s="1"/>
      <c r="AJ227" s="1"/>
      <c r="AR227" s="1"/>
      <c r="AS227" s="1"/>
      <c r="AT227" s="1"/>
      <c r="AV227" s="1"/>
      <c r="BC227" s="1"/>
      <c r="BD227" s="1"/>
      <c r="BE227" s="1"/>
      <c r="BF227" s="1"/>
      <c r="BG227" s="1"/>
      <c r="BH227" s="1"/>
      <c r="BI227" s="1"/>
      <c r="BJ227" s="1"/>
      <c r="BK227" s="1"/>
      <c r="BL227" s="1"/>
      <c r="BM227" s="1"/>
      <c r="BN227" s="1"/>
      <c r="BO227" s="1"/>
      <c r="BP227" s="1"/>
      <c r="BQ227" s="1"/>
      <c r="BR227" s="1"/>
      <c r="BS227" s="1"/>
      <c r="BT227" s="1"/>
      <c r="BU227" s="1"/>
      <c r="BV227" s="1"/>
      <c r="BW227" s="1"/>
      <c r="BX227" s="1"/>
      <c r="BY227" s="1"/>
      <c r="BZ227" s="1"/>
      <c r="CA227" s="1"/>
      <c r="CM227"/>
      <c r="CN227"/>
      <c r="CO227"/>
      <c r="CP227"/>
      <c r="CQ227"/>
      <c r="CR227"/>
    </row>
    <row r="228" spans="33:96">
      <c r="AG228" s="1"/>
      <c r="AH228" s="1"/>
      <c r="AI228" s="1"/>
      <c r="AJ228" s="1"/>
      <c r="AR228" s="1"/>
      <c r="AS228" s="1"/>
      <c r="AT228" s="1"/>
      <c r="AV228" s="1"/>
      <c r="BC228" s="1"/>
      <c r="BD228" s="1"/>
      <c r="BE228" s="1"/>
      <c r="BF228" s="1"/>
      <c r="BG228" s="1"/>
      <c r="BH228" s="1"/>
      <c r="BI228" s="1"/>
      <c r="BJ228" s="1"/>
      <c r="BK228" s="1"/>
      <c r="BL228" s="1"/>
      <c r="BM228" s="1"/>
      <c r="BN228" s="1"/>
      <c r="BO228" s="1"/>
      <c r="BP228" s="1"/>
      <c r="BQ228" s="1"/>
      <c r="BR228" s="1"/>
      <c r="BS228" s="1"/>
      <c r="BT228" s="1"/>
      <c r="BU228" s="1"/>
      <c r="BV228" s="1"/>
      <c r="BW228" s="1"/>
      <c r="BX228" s="1"/>
      <c r="BY228" s="1"/>
      <c r="BZ228" s="1"/>
      <c r="CA228" s="1"/>
      <c r="CM228"/>
      <c r="CN228"/>
      <c r="CO228"/>
      <c r="CP228"/>
      <c r="CQ228"/>
      <c r="CR228"/>
    </row>
    <row r="229" spans="33:96">
      <c r="AG229" s="1"/>
      <c r="AH229" s="1"/>
      <c r="AI229" s="1"/>
      <c r="AJ229" s="1"/>
      <c r="AR229" s="1"/>
      <c r="AS229" s="1"/>
      <c r="AT229" s="1"/>
      <c r="AV229" s="1"/>
      <c r="BC229" s="1"/>
      <c r="BD229" s="1"/>
      <c r="BE229" s="1"/>
      <c r="BF229" s="1"/>
      <c r="BG229" s="1"/>
      <c r="BH229" s="1"/>
      <c r="BI229" s="1"/>
      <c r="BJ229" s="1"/>
      <c r="BK229" s="1"/>
      <c r="BL229" s="1"/>
      <c r="BM229" s="1"/>
      <c r="BN229" s="1"/>
      <c r="BO229" s="1"/>
      <c r="BP229" s="1"/>
      <c r="BQ229" s="1"/>
      <c r="BR229" s="1"/>
      <c r="BS229" s="1"/>
      <c r="BT229" s="1"/>
      <c r="BU229" s="1"/>
      <c r="BV229" s="1"/>
      <c r="BW229" s="1"/>
      <c r="BX229" s="1"/>
      <c r="BY229" s="1"/>
      <c r="BZ229" s="1"/>
      <c r="CA229" s="1"/>
      <c r="CM229"/>
      <c r="CN229"/>
      <c r="CO229"/>
      <c r="CP229"/>
      <c r="CQ229"/>
      <c r="CR229"/>
    </row>
    <row r="230" spans="33:96">
      <c r="AG230" s="1"/>
      <c r="AH230" s="1"/>
      <c r="AI230" s="1"/>
      <c r="AJ230" s="1"/>
      <c r="AR230" s="1"/>
      <c r="AS230" s="1"/>
      <c r="AT230" s="1"/>
      <c r="AV230" s="1"/>
      <c r="BC230" s="1"/>
      <c r="BD230" s="1"/>
      <c r="BE230" s="1"/>
      <c r="BF230" s="1"/>
      <c r="BG230" s="1"/>
      <c r="BH230" s="1"/>
      <c r="BI230" s="1"/>
      <c r="BJ230" s="1"/>
      <c r="BK230" s="1"/>
      <c r="BL230" s="1"/>
      <c r="BM230" s="1"/>
      <c r="BN230" s="1"/>
      <c r="BO230" s="1"/>
      <c r="BP230" s="1"/>
      <c r="BQ230" s="1"/>
      <c r="BR230" s="1"/>
      <c r="BS230" s="1"/>
      <c r="BT230" s="1"/>
      <c r="BU230" s="1"/>
      <c r="BV230" s="1"/>
      <c r="BW230" s="1"/>
      <c r="BX230" s="1"/>
      <c r="BY230" s="1"/>
      <c r="BZ230" s="1"/>
      <c r="CA230" s="1"/>
      <c r="CM230"/>
      <c r="CN230"/>
      <c r="CO230"/>
      <c r="CP230"/>
      <c r="CQ230"/>
      <c r="CR230"/>
    </row>
    <row r="231" spans="33:96">
      <c r="AG231" s="1"/>
      <c r="AH231" s="1"/>
      <c r="AI231" s="1"/>
      <c r="AJ231" s="1"/>
      <c r="AR231" s="1"/>
      <c r="AS231" s="1"/>
      <c r="AT231" s="1"/>
      <c r="AV231" s="1"/>
      <c r="BC231" s="1"/>
      <c r="BD231" s="1"/>
      <c r="BE231" s="1"/>
      <c r="BF231" s="1"/>
      <c r="BG231" s="1"/>
      <c r="BH231" s="1"/>
      <c r="BI231" s="1"/>
      <c r="BJ231" s="1"/>
      <c r="BK231" s="1"/>
      <c r="BL231" s="1"/>
      <c r="BM231" s="1"/>
      <c r="BN231" s="1"/>
      <c r="BO231" s="1"/>
      <c r="BP231" s="1"/>
      <c r="BQ231" s="1"/>
      <c r="BR231" s="1"/>
      <c r="BS231" s="1"/>
      <c r="BT231" s="1"/>
      <c r="BU231" s="1"/>
      <c r="BV231" s="1"/>
      <c r="BW231" s="1"/>
      <c r="BX231" s="1"/>
      <c r="BY231" s="1"/>
      <c r="BZ231" s="1"/>
      <c r="CA231" s="1"/>
      <c r="CM231"/>
      <c r="CN231"/>
      <c r="CO231"/>
      <c r="CP231"/>
      <c r="CQ231"/>
      <c r="CR231"/>
    </row>
    <row r="232" spans="33:96">
      <c r="AG232" s="1"/>
      <c r="AH232" s="1"/>
      <c r="AI232" s="1"/>
      <c r="AJ232" s="1"/>
      <c r="AR232" s="1"/>
      <c r="AS232" s="1"/>
      <c r="AT232" s="1"/>
      <c r="AV232" s="1"/>
      <c r="BC232" s="1"/>
      <c r="BD232" s="1"/>
      <c r="BE232" s="1"/>
      <c r="BF232" s="1"/>
      <c r="BG232" s="1"/>
      <c r="BH232" s="1"/>
      <c r="BI232" s="1"/>
      <c r="BJ232" s="1"/>
      <c r="BK232" s="1"/>
      <c r="BL232" s="1"/>
      <c r="BM232" s="1"/>
      <c r="BN232" s="1"/>
      <c r="BO232" s="1"/>
      <c r="BP232" s="1"/>
      <c r="BQ232" s="1"/>
      <c r="BR232" s="1"/>
      <c r="BS232" s="1"/>
      <c r="BT232" s="1"/>
      <c r="BU232" s="1"/>
      <c r="BV232" s="1"/>
      <c r="BW232" s="1"/>
      <c r="BX232" s="1"/>
      <c r="BY232" s="1"/>
      <c r="BZ232" s="1"/>
      <c r="CA232" s="1"/>
      <c r="CM232"/>
      <c r="CN232"/>
      <c r="CO232"/>
      <c r="CP232"/>
      <c r="CQ232"/>
      <c r="CR232"/>
    </row>
    <row r="233" spans="33:96">
      <c r="AG233" s="1"/>
      <c r="AH233" s="1"/>
      <c r="AI233" s="1"/>
      <c r="AJ233" s="1"/>
      <c r="AR233" s="1"/>
      <c r="AS233" s="1"/>
      <c r="AT233" s="1"/>
      <c r="AV233" s="1"/>
      <c r="BC233" s="1"/>
      <c r="BD233" s="1"/>
      <c r="BE233" s="1"/>
      <c r="BF233" s="1"/>
      <c r="BG233" s="1"/>
      <c r="BH233" s="1"/>
      <c r="BI233" s="1"/>
      <c r="BJ233" s="1"/>
      <c r="BK233" s="1"/>
      <c r="BL233" s="1"/>
      <c r="BM233" s="1"/>
      <c r="BN233" s="1"/>
      <c r="BO233" s="1"/>
      <c r="BP233" s="1"/>
      <c r="BQ233" s="1"/>
      <c r="BR233" s="1"/>
      <c r="BS233" s="1"/>
      <c r="BT233" s="1"/>
      <c r="BU233" s="1"/>
      <c r="BV233" s="1"/>
      <c r="BW233" s="1"/>
      <c r="BX233" s="1"/>
      <c r="BY233" s="1"/>
      <c r="BZ233" s="1"/>
      <c r="CA233" s="1"/>
      <c r="CM233"/>
      <c r="CN233"/>
      <c r="CO233"/>
      <c r="CP233"/>
      <c r="CQ233"/>
      <c r="CR233"/>
    </row>
    <row r="234" spans="33:96">
      <c r="AG234" s="1"/>
      <c r="AH234" s="1"/>
      <c r="AI234" s="1"/>
      <c r="AJ234" s="1"/>
      <c r="AR234" s="1"/>
      <c r="AS234" s="1"/>
      <c r="AT234" s="1"/>
      <c r="AV234" s="1"/>
      <c r="BC234" s="1"/>
      <c r="BD234" s="1"/>
      <c r="BE234" s="1"/>
      <c r="BF234" s="1"/>
      <c r="BG234" s="1"/>
      <c r="BH234" s="1"/>
      <c r="BI234" s="1"/>
      <c r="BJ234" s="1"/>
      <c r="BK234" s="1"/>
      <c r="BL234" s="1"/>
      <c r="BM234" s="1"/>
      <c r="BN234" s="1"/>
      <c r="BO234" s="1"/>
      <c r="BP234" s="1"/>
      <c r="BQ234" s="1"/>
      <c r="BR234" s="1"/>
      <c r="BS234" s="1"/>
      <c r="BT234" s="1"/>
      <c r="BU234" s="1"/>
      <c r="BV234" s="1"/>
      <c r="BW234" s="1"/>
      <c r="BX234" s="1"/>
      <c r="BY234" s="1"/>
      <c r="BZ234" s="1"/>
      <c r="CA234" s="1"/>
      <c r="CM234"/>
      <c r="CN234"/>
      <c r="CO234"/>
      <c r="CP234"/>
      <c r="CQ234"/>
      <c r="CR234"/>
    </row>
    <row r="235" spans="33:96">
      <c r="AG235" s="1"/>
      <c r="AH235" s="1"/>
      <c r="AI235" s="1"/>
      <c r="AJ235" s="1"/>
      <c r="AR235" s="1"/>
      <c r="AS235" s="1"/>
      <c r="AT235" s="1"/>
      <c r="AV235" s="1"/>
      <c r="BC235" s="1"/>
      <c r="BD235" s="1"/>
      <c r="BE235" s="1"/>
      <c r="BF235" s="1"/>
      <c r="BG235" s="1"/>
      <c r="BH235" s="1"/>
      <c r="BI235" s="1"/>
      <c r="BJ235" s="1"/>
      <c r="BK235" s="1"/>
      <c r="BL235" s="1"/>
      <c r="BM235" s="1"/>
      <c r="BN235" s="1"/>
      <c r="BO235" s="1"/>
      <c r="BP235" s="1"/>
      <c r="BQ235" s="1"/>
      <c r="BR235" s="1"/>
      <c r="BS235" s="1"/>
      <c r="BT235" s="1"/>
      <c r="BU235" s="1"/>
      <c r="BV235" s="1"/>
      <c r="BW235" s="1"/>
      <c r="BX235" s="1"/>
      <c r="BY235" s="1"/>
      <c r="BZ235" s="1"/>
      <c r="CA235" s="1"/>
      <c r="CM235"/>
      <c r="CN235"/>
      <c r="CO235"/>
      <c r="CP235"/>
      <c r="CQ235"/>
      <c r="CR235"/>
    </row>
    <row r="236" spans="33:96">
      <c r="AG236" s="1"/>
      <c r="AH236" s="1"/>
      <c r="AI236" s="1"/>
      <c r="AJ236" s="1"/>
      <c r="AR236" s="1"/>
      <c r="AS236" s="1"/>
      <c r="AT236" s="1"/>
      <c r="AV236" s="1"/>
      <c r="BC236" s="1"/>
      <c r="BD236" s="1"/>
      <c r="BE236" s="1"/>
      <c r="BF236" s="1"/>
      <c r="BG236" s="1"/>
      <c r="BH236" s="1"/>
      <c r="BI236" s="1"/>
      <c r="BJ236" s="1"/>
      <c r="BK236" s="1"/>
      <c r="BL236" s="1"/>
      <c r="BM236" s="1"/>
      <c r="BN236" s="1"/>
      <c r="BO236" s="1"/>
      <c r="BP236" s="1"/>
      <c r="BQ236" s="1"/>
      <c r="BR236" s="1"/>
      <c r="BS236" s="1"/>
      <c r="BT236" s="1"/>
      <c r="BU236" s="1"/>
      <c r="BV236" s="1"/>
      <c r="BW236" s="1"/>
      <c r="BX236" s="1"/>
      <c r="BY236" s="1"/>
      <c r="BZ236" s="1"/>
      <c r="CA236" s="1"/>
      <c r="CM236"/>
      <c r="CN236"/>
      <c r="CO236"/>
      <c r="CP236"/>
      <c r="CQ236"/>
      <c r="CR236"/>
    </row>
    <row r="237" spans="33:96">
      <c r="AG237" s="1"/>
      <c r="AH237" s="1"/>
      <c r="AI237" s="1"/>
      <c r="AJ237" s="1"/>
      <c r="AR237" s="1"/>
      <c r="AS237" s="1"/>
      <c r="AT237" s="1"/>
      <c r="AV237" s="1"/>
      <c r="BC237" s="1"/>
      <c r="BD237" s="1"/>
      <c r="BE237" s="1"/>
      <c r="BF237" s="1"/>
      <c r="BG237" s="1"/>
      <c r="BH237" s="1"/>
      <c r="BI237" s="1"/>
      <c r="BJ237" s="1"/>
      <c r="BK237" s="1"/>
      <c r="BL237" s="1"/>
      <c r="BM237" s="1"/>
      <c r="BN237" s="1"/>
      <c r="BO237" s="1"/>
      <c r="BP237" s="1"/>
      <c r="BQ237" s="1"/>
      <c r="BR237" s="1"/>
      <c r="BS237" s="1"/>
      <c r="BT237" s="1"/>
      <c r="BU237" s="1"/>
      <c r="BV237" s="1"/>
      <c r="BW237" s="1"/>
      <c r="BX237" s="1"/>
      <c r="BY237" s="1"/>
      <c r="BZ237" s="1"/>
      <c r="CA237" s="1"/>
      <c r="CM237"/>
      <c r="CN237"/>
      <c r="CO237"/>
      <c r="CP237"/>
      <c r="CQ237"/>
      <c r="CR237"/>
    </row>
    <row r="238" spans="33:96">
      <c r="AG238" s="1"/>
      <c r="AH238" s="1"/>
      <c r="AI238" s="1"/>
      <c r="AJ238" s="1"/>
      <c r="AR238" s="1"/>
      <c r="AS238" s="1"/>
      <c r="AT238" s="1"/>
      <c r="AV238" s="1"/>
      <c r="BC238" s="1"/>
      <c r="BD238" s="1"/>
      <c r="BE238" s="1"/>
      <c r="BF238" s="1"/>
      <c r="BG238" s="1"/>
      <c r="BH238" s="1"/>
      <c r="BI238" s="1"/>
      <c r="BJ238" s="1"/>
      <c r="BK238" s="1"/>
      <c r="BL238" s="1"/>
      <c r="BM238" s="1"/>
      <c r="BN238" s="1"/>
      <c r="BO238" s="1"/>
      <c r="BP238" s="1"/>
      <c r="BQ238" s="1"/>
      <c r="BR238" s="1"/>
      <c r="BS238" s="1"/>
      <c r="BT238" s="1"/>
      <c r="BU238" s="1"/>
      <c r="BV238" s="1"/>
      <c r="BW238" s="1"/>
      <c r="BX238" s="1"/>
      <c r="BY238" s="1"/>
      <c r="BZ238" s="1"/>
      <c r="CA238" s="1"/>
      <c r="CM238"/>
      <c r="CN238"/>
      <c r="CO238"/>
      <c r="CP238"/>
      <c r="CQ238"/>
      <c r="CR238"/>
    </row>
    <row r="239" spans="33:96">
      <c r="AG239" s="1"/>
      <c r="AH239" s="1"/>
      <c r="AI239" s="1"/>
      <c r="AJ239" s="1"/>
      <c r="AR239" s="1"/>
      <c r="AS239" s="1"/>
      <c r="AT239" s="1"/>
      <c r="AV239" s="1"/>
      <c r="BC239" s="1"/>
      <c r="BD239" s="1"/>
      <c r="BE239" s="1"/>
      <c r="BF239" s="1"/>
      <c r="BG239" s="1"/>
      <c r="BH239" s="1"/>
      <c r="BI239" s="1"/>
      <c r="BJ239" s="1"/>
      <c r="BK239" s="1"/>
      <c r="BL239" s="1"/>
      <c r="BM239" s="1"/>
      <c r="BN239" s="1"/>
      <c r="BO239" s="1"/>
      <c r="BP239" s="1"/>
      <c r="BQ239" s="1"/>
      <c r="BR239" s="1"/>
      <c r="BS239" s="1"/>
      <c r="BT239" s="1"/>
      <c r="BU239" s="1"/>
      <c r="BV239" s="1"/>
      <c r="BW239" s="1"/>
      <c r="BX239" s="1"/>
      <c r="BY239" s="1"/>
      <c r="BZ239" s="1"/>
      <c r="CA239" s="1"/>
      <c r="CM239"/>
      <c r="CN239"/>
      <c r="CO239"/>
      <c r="CP239"/>
      <c r="CQ239"/>
      <c r="CR239"/>
    </row>
    <row r="240" spans="33:96">
      <c r="AG240" s="1"/>
      <c r="AH240" s="1"/>
      <c r="AI240" s="1"/>
      <c r="AJ240" s="1"/>
      <c r="AR240" s="1"/>
      <c r="AS240" s="1"/>
      <c r="AT240" s="1"/>
      <c r="AV240" s="1"/>
      <c r="BC240" s="1"/>
      <c r="BD240" s="1"/>
      <c r="BE240" s="1"/>
      <c r="BF240" s="1"/>
      <c r="BG240" s="1"/>
      <c r="BH240" s="1"/>
      <c r="BI240" s="1"/>
      <c r="BJ240" s="1"/>
      <c r="BK240" s="1"/>
      <c r="BL240" s="1"/>
      <c r="BM240" s="1"/>
      <c r="BN240" s="1"/>
      <c r="BO240" s="1"/>
      <c r="BP240" s="1"/>
      <c r="BQ240" s="1"/>
      <c r="BR240" s="1"/>
      <c r="BS240" s="1"/>
      <c r="BT240" s="1"/>
      <c r="BU240" s="1"/>
      <c r="BV240" s="1"/>
      <c r="BW240" s="1"/>
      <c r="BX240" s="1"/>
      <c r="BY240" s="1"/>
      <c r="BZ240" s="1"/>
      <c r="CA240" s="1"/>
      <c r="CM240"/>
      <c r="CN240"/>
      <c r="CO240"/>
      <c r="CP240"/>
      <c r="CQ240"/>
      <c r="CR240"/>
    </row>
    <row r="241" spans="33:96">
      <c r="AG241" s="1"/>
      <c r="AH241" s="1"/>
      <c r="AI241" s="1"/>
      <c r="AJ241" s="1"/>
      <c r="AR241" s="1"/>
      <c r="AS241" s="1"/>
      <c r="AT241" s="1"/>
      <c r="AV241" s="1"/>
      <c r="BC241" s="1"/>
      <c r="BD241" s="1"/>
      <c r="BE241" s="1"/>
      <c r="BF241" s="1"/>
      <c r="BG241" s="1"/>
      <c r="BH241" s="1"/>
      <c r="BI241" s="1"/>
      <c r="BJ241" s="1"/>
      <c r="BK241" s="1"/>
      <c r="BL241" s="1"/>
      <c r="BM241" s="1"/>
      <c r="BN241" s="1"/>
      <c r="BO241" s="1"/>
      <c r="BP241" s="1"/>
      <c r="BQ241" s="1"/>
      <c r="BR241" s="1"/>
      <c r="BS241" s="1"/>
      <c r="BT241" s="1"/>
      <c r="BU241" s="1"/>
      <c r="BV241" s="1"/>
      <c r="BW241" s="1"/>
      <c r="BX241" s="1"/>
      <c r="BY241" s="1"/>
      <c r="BZ241" s="1"/>
      <c r="CA241" s="1"/>
      <c r="CM241"/>
      <c r="CN241"/>
      <c r="CO241"/>
      <c r="CP241"/>
      <c r="CQ241"/>
      <c r="CR241"/>
    </row>
    <row r="242" spans="33:96">
      <c r="AG242" s="1"/>
      <c r="AH242" s="1"/>
      <c r="AI242" s="1"/>
      <c r="AJ242" s="1"/>
      <c r="AR242" s="1"/>
      <c r="AS242" s="1"/>
      <c r="AT242" s="1"/>
      <c r="AV242" s="1"/>
      <c r="BC242" s="1"/>
      <c r="BD242" s="1"/>
      <c r="BE242" s="1"/>
      <c r="BF242" s="1"/>
      <c r="BG242" s="1"/>
      <c r="BH242" s="1"/>
      <c r="BI242" s="1"/>
      <c r="BJ242" s="1"/>
      <c r="BK242" s="1"/>
      <c r="BL242" s="1"/>
      <c r="BM242" s="1"/>
      <c r="BN242" s="1"/>
      <c r="BO242" s="1"/>
      <c r="BP242" s="1"/>
      <c r="BQ242" s="1"/>
      <c r="BR242" s="1"/>
      <c r="BS242" s="1"/>
      <c r="BT242" s="1"/>
      <c r="BU242" s="1"/>
      <c r="BV242" s="1"/>
      <c r="BW242" s="1"/>
      <c r="BX242" s="1"/>
      <c r="BY242" s="1"/>
      <c r="BZ242" s="1"/>
      <c r="CA242" s="1"/>
      <c r="CM242"/>
      <c r="CN242"/>
      <c r="CO242"/>
      <c r="CP242"/>
      <c r="CQ242"/>
      <c r="CR242"/>
    </row>
    <row r="243" spans="33:96">
      <c r="AG243" s="1"/>
      <c r="AH243" s="1"/>
      <c r="AI243" s="1"/>
      <c r="AJ243" s="1"/>
      <c r="AR243" s="1"/>
      <c r="AS243" s="1"/>
      <c r="AT243" s="1"/>
      <c r="AV243" s="1"/>
      <c r="BC243" s="1"/>
      <c r="BD243" s="1"/>
      <c r="BE243" s="1"/>
      <c r="BF243" s="1"/>
      <c r="BG243" s="1"/>
      <c r="BH243" s="1"/>
      <c r="BI243" s="1"/>
      <c r="BJ243" s="1"/>
      <c r="BK243" s="1"/>
      <c r="BL243" s="1"/>
      <c r="BM243" s="1"/>
      <c r="BN243" s="1"/>
      <c r="BO243" s="1"/>
      <c r="BP243" s="1"/>
      <c r="BQ243" s="1"/>
      <c r="BR243" s="1"/>
      <c r="BS243" s="1"/>
      <c r="BT243" s="1"/>
      <c r="BU243" s="1"/>
      <c r="BV243" s="1"/>
      <c r="BW243" s="1"/>
      <c r="BX243" s="1"/>
      <c r="BY243" s="1"/>
      <c r="BZ243" s="1"/>
      <c r="CA243" s="1"/>
      <c r="CM243"/>
      <c r="CN243"/>
      <c r="CO243"/>
      <c r="CP243"/>
      <c r="CQ243"/>
      <c r="CR243"/>
    </row>
    <row r="244" spans="33:96">
      <c r="AG244" s="1"/>
      <c r="AH244" s="1"/>
      <c r="AI244" s="1"/>
      <c r="AJ244" s="1"/>
      <c r="AR244" s="1"/>
      <c r="AS244" s="1"/>
      <c r="AT244" s="1"/>
      <c r="AV244" s="1"/>
      <c r="BC244" s="1"/>
      <c r="BD244" s="1"/>
      <c r="BE244" s="1"/>
      <c r="BF244" s="1"/>
      <c r="BG244" s="1"/>
      <c r="BH244" s="1"/>
      <c r="BI244" s="1"/>
      <c r="BJ244" s="1"/>
      <c r="BK244" s="1"/>
      <c r="BL244" s="1"/>
      <c r="BM244" s="1"/>
      <c r="BN244" s="1"/>
      <c r="BO244" s="1"/>
      <c r="BP244" s="1"/>
      <c r="BQ244" s="1"/>
      <c r="BR244" s="1"/>
      <c r="BS244" s="1"/>
      <c r="BT244" s="1"/>
      <c r="BU244" s="1"/>
      <c r="BV244" s="1"/>
      <c r="BW244" s="1"/>
      <c r="BX244" s="1"/>
      <c r="BY244" s="1"/>
      <c r="BZ244" s="1"/>
      <c r="CA244" s="1"/>
      <c r="CM244"/>
      <c r="CN244"/>
      <c r="CO244"/>
      <c r="CP244"/>
      <c r="CQ244"/>
      <c r="CR244"/>
    </row>
    <row r="245" spans="33:96">
      <c r="AG245" s="1"/>
      <c r="AH245" s="1"/>
      <c r="AI245" s="1"/>
      <c r="AJ245" s="1"/>
      <c r="AR245" s="1"/>
      <c r="AS245" s="1"/>
      <c r="AT245" s="1"/>
      <c r="AV245" s="1"/>
      <c r="BC245" s="1"/>
      <c r="BD245" s="1"/>
      <c r="BE245" s="1"/>
      <c r="BF245" s="1"/>
      <c r="BG245" s="1"/>
      <c r="BH245" s="1"/>
      <c r="BI245" s="1"/>
      <c r="BJ245" s="1"/>
      <c r="BK245" s="1"/>
      <c r="BL245" s="1"/>
      <c r="BM245" s="1"/>
      <c r="BN245" s="1"/>
      <c r="BO245" s="1"/>
      <c r="BP245" s="1"/>
      <c r="BQ245" s="1"/>
      <c r="BR245" s="1"/>
      <c r="BS245" s="1"/>
      <c r="BT245" s="1"/>
      <c r="BU245" s="1"/>
      <c r="BV245" s="1"/>
      <c r="BW245" s="1"/>
      <c r="BX245" s="1"/>
      <c r="BY245" s="1"/>
      <c r="BZ245" s="1"/>
      <c r="CA245" s="1"/>
      <c r="CM245"/>
      <c r="CN245"/>
      <c r="CO245"/>
      <c r="CP245"/>
      <c r="CQ245"/>
      <c r="CR245"/>
    </row>
    <row r="246" spans="33:96">
      <c r="AG246" s="1"/>
      <c r="AH246" s="1"/>
      <c r="AI246" s="1"/>
      <c r="AJ246" s="1"/>
      <c r="AR246" s="1"/>
      <c r="AS246" s="1"/>
      <c r="AT246" s="1"/>
      <c r="AV246" s="1"/>
      <c r="BC246" s="1"/>
      <c r="BD246" s="1"/>
      <c r="BE246" s="1"/>
      <c r="BF246" s="1"/>
      <c r="BG246" s="1"/>
      <c r="BH246" s="1"/>
      <c r="BI246" s="1"/>
      <c r="BJ246" s="1"/>
      <c r="BK246" s="1"/>
      <c r="BL246" s="1"/>
      <c r="BM246" s="1"/>
      <c r="BN246" s="1"/>
      <c r="BO246" s="1"/>
      <c r="BP246" s="1"/>
      <c r="BQ246" s="1"/>
      <c r="BR246" s="1"/>
      <c r="BS246" s="1"/>
      <c r="BT246" s="1"/>
      <c r="BU246" s="1"/>
      <c r="BV246" s="1"/>
      <c r="BW246" s="1"/>
      <c r="BX246" s="1"/>
      <c r="BY246" s="1"/>
      <c r="BZ246" s="1"/>
      <c r="CA246" s="1"/>
      <c r="CM246"/>
      <c r="CN246"/>
      <c r="CO246"/>
      <c r="CP246"/>
      <c r="CQ246"/>
      <c r="CR246"/>
    </row>
    <row r="247" spans="33:96">
      <c r="AG247" s="1"/>
      <c r="AH247" s="1"/>
      <c r="AI247" s="1"/>
      <c r="AJ247" s="1"/>
      <c r="AR247" s="1"/>
      <c r="AS247" s="1"/>
      <c r="AT247" s="1"/>
      <c r="AV247" s="1"/>
      <c r="BC247" s="1"/>
      <c r="BD247" s="1"/>
      <c r="BE247" s="1"/>
      <c r="BF247" s="1"/>
      <c r="BG247" s="1"/>
      <c r="BH247" s="1"/>
      <c r="BI247" s="1"/>
      <c r="BJ247" s="1"/>
      <c r="BK247" s="1"/>
      <c r="BL247" s="1"/>
      <c r="BM247" s="1"/>
      <c r="BN247" s="1"/>
      <c r="BO247" s="1"/>
      <c r="BP247" s="1"/>
      <c r="BQ247" s="1"/>
      <c r="BR247" s="1"/>
      <c r="BS247" s="1"/>
      <c r="BT247" s="1"/>
      <c r="BU247" s="1"/>
      <c r="BV247" s="1"/>
      <c r="BW247" s="1"/>
      <c r="BX247" s="1"/>
      <c r="BY247" s="1"/>
      <c r="BZ247" s="1"/>
      <c r="CA247" s="1"/>
      <c r="CM247"/>
      <c r="CN247"/>
      <c r="CO247"/>
      <c r="CP247"/>
      <c r="CQ247"/>
      <c r="CR247"/>
    </row>
    <row r="248" spans="33:96">
      <c r="AG248" s="1"/>
      <c r="AH248" s="1"/>
      <c r="AI248" s="1"/>
      <c r="AJ248" s="1"/>
      <c r="AR248" s="1"/>
      <c r="AS248" s="1"/>
      <c r="AT248" s="1"/>
      <c r="AV248" s="1"/>
      <c r="BC248" s="1"/>
      <c r="BD248" s="1"/>
      <c r="BE248" s="1"/>
      <c r="BF248" s="1"/>
      <c r="BG248" s="1"/>
      <c r="BH248" s="1"/>
      <c r="BI248" s="1"/>
      <c r="BJ248" s="1"/>
      <c r="BK248" s="1"/>
      <c r="BL248" s="1"/>
      <c r="BM248" s="1"/>
      <c r="BN248" s="1"/>
      <c r="BO248" s="1"/>
      <c r="BP248" s="1"/>
      <c r="BQ248" s="1"/>
      <c r="BR248" s="1"/>
      <c r="BS248" s="1"/>
      <c r="BT248" s="1"/>
      <c r="BU248" s="1"/>
      <c r="BV248" s="1"/>
      <c r="BW248" s="1"/>
      <c r="BX248" s="1"/>
      <c r="BY248" s="1"/>
      <c r="BZ248" s="1"/>
      <c r="CA248" s="1"/>
      <c r="CM248"/>
      <c r="CN248"/>
      <c r="CO248"/>
      <c r="CP248"/>
      <c r="CQ248"/>
      <c r="CR248"/>
    </row>
    <row r="249" spans="33:96">
      <c r="AG249" s="1"/>
      <c r="AH249" s="1"/>
      <c r="AI249" s="1"/>
      <c r="AJ249" s="1"/>
      <c r="AR249" s="1"/>
      <c r="AS249" s="1"/>
      <c r="AT249" s="1"/>
      <c r="AV249" s="1"/>
      <c r="BC249" s="1"/>
      <c r="BD249" s="1"/>
      <c r="BE249" s="1"/>
      <c r="BF249" s="1"/>
      <c r="BG249" s="1"/>
      <c r="BH249" s="1"/>
      <c r="BI249" s="1"/>
      <c r="BJ249" s="1"/>
      <c r="BK249" s="1"/>
      <c r="BL249" s="1"/>
      <c r="BM249" s="1"/>
      <c r="BN249" s="1"/>
      <c r="BO249" s="1"/>
      <c r="BP249" s="1"/>
      <c r="BQ249" s="1"/>
      <c r="BR249" s="1"/>
      <c r="BS249" s="1"/>
      <c r="BT249" s="1"/>
      <c r="BU249" s="1"/>
      <c r="BV249" s="1"/>
      <c r="BW249" s="1"/>
      <c r="BX249" s="1"/>
      <c r="BY249" s="1"/>
      <c r="BZ249" s="1"/>
      <c r="CA249" s="1"/>
      <c r="CM249"/>
      <c r="CN249"/>
      <c r="CO249"/>
      <c r="CP249"/>
      <c r="CQ249"/>
      <c r="CR249"/>
    </row>
    <row r="250" spans="33:96">
      <c r="AG250" s="1"/>
      <c r="AH250" s="1"/>
      <c r="AI250" s="1"/>
      <c r="AJ250" s="1"/>
      <c r="AR250" s="1"/>
      <c r="AS250" s="1"/>
      <c r="AT250" s="1"/>
      <c r="AV250" s="1"/>
      <c r="BC250" s="1"/>
      <c r="BD250" s="1"/>
      <c r="BE250" s="1"/>
      <c r="BF250" s="1"/>
      <c r="BG250" s="1"/>
      <c r="BH250" s="1"/>
      <c r="BI250" s="1"/>
      <c r="BJ250" s="1"/>
      <c r="BK250" s="1"/>
      <c r="BL250" s="1"/>
      <c r="BM250" s="1"/>
      <c r="BN250" s="1"/>
      <c r="BO250" s="1"/>
      <c r="BP250" s="1"/>
      <c r="BQ250" s="1"/>
      <c r="BR250" s="1"/>
      <c r="BS250" s="1"/>
      <c r="BT250" s="1"/>
      <c r="BU250" s="1"/>
      <c r="BV250" s="1"/>
      <c r="BW250" s="1"/>
      <c r="BX250" s="1"/>
      <c r="BY250" s="1"/>
      <c r="BZ250" s="1"/>
      <c r="CA250" s="1"/>
      <c r="CM250"/>
      <c r="CN250"/>
      <c r="CO250"/>
      <c r="CP250"/>
      <c r="CQ250"/>
      <c r="CR250"/>
    </row>
    <row r="251" spans="33:96">
      <c r="AG251" s="1"/>
      <c r="AH251" s="1"/>
      <c r="AI251" s="1"/>
      <c r="AJ251" s="1"/>
      <c r="AR251" s="1"/>
      <c r="AS251" s="1"/>
      <c r="AT251" s="1"/>
      <c r="AV251" s="1"/>
      <c r="BC251" s="1"/>
      <c r="BD251" s="1"/>
      <c r="BE251" s="1"/>
      <c r="BF251" s="1"/>
      <c r="BG251" s="1"/>
      <c r="BH251" s="1"/>
      <c r="BI251" s="1"/>
      <c r="BJ251" s="1"/>
      <c r="BK251" s="1"/>
      <c r="BL251" s="1"/>
      <c r="BM251" s="1"/>
      <c r="BN251" s="1"/>
      <c r="BO251" s="1"/>
      <c r="BP251" s="1"/>
      <c r="BQ251" s="1"/>
      <c r="BR251" s="1"/>
      <c r="BS251" s="1"/>
      <c r="BT251" s="1"/>
      <c r="BU251" s="1"/>
      <c r="BV251" s="1"/>
      <c r="BW251" s="1"/>
      <c r="BX251" s="1"/>
      <c r="BY251" s="1"/>
      <c r="BZ251" s="1"/>
      <c r="CA251" s="1"/>
      <c r="CM251"/>
      <c r="CN251"/>
      <c r="CO251"/>
      <c r="CP251"/>
      <c r="CQ251"/>
      <c r="CR251"/>
    </row>
    <row r="252" spans="33:96">
      <c r="AG252" s="1"/>
      <c r="AH252" s="1"/>
      <c r="AI252" s="1"/>
      <c r="AJ252" s="1"/>
      <c r="AR252" s="1"/>
      <c r="AS252" s="1"/>
      <c r="AT252" s="1"/>
      <c r="AV252" s="1"/>
      <c r="BC252" s="1"/>
      <c r="BD252" s="1"/>
      <c r="BE252" s="1"/>
      <c r="BF252" s="1"/>
      <c r="BG252" s="1"/>
      <c r="BH252" s="1"/>
      <c r="BI252" s="1"/>
      <c r="BJ252" s="1"/>
      <c r="BK252" s="1"/>
      <c r="BL252" s="1"/>
      <c r="BM252" s="1"/>
      <c r="BN252" s="1"/>
      <c r="BO252" s="1"/>
      <c r="BP252" s="1"/>
      <c r="BQ252" s="1"/>
      <c r="BR252" s="1"/>
      <c r="BS252" s="1"/>
      <c r="BT252" s="1"/>
      <c r="BU252" s="1"/>
      <c r="BV252" s="1"/>
      <c r="BW252" s="1"/>
      <c r="BX252" s="1"/>
      <c r="BY252" s="1"/>
      <c r="BZ252" s="1"/>
      <c r="CA252" s="1"/>
      <c r="CM252"/>
      <c r="CN252"/>
      <c r="CO252"/>
      <c r="CP252"/>
      <c r="CQ252"/>
      <c r="CR252"/>
    </row>
    <row r="253" spans="33:96">
      <c r="AG253" s="1"/>
      <c r="AH253" s="1"/>
      <c r="AI253" s="1"/>
      <c r="AJ253" s="1"/>
      <c r="AR253" s="1"/>
      <c r="AS253" s="1"/>
      <c r="AT253" s="1"/>
      <c r="AV253" s="1"/>
      <c r="BC253" s="1"/>
      <c r="BD253" s="1"/>
      <c r="BE253" s="1"/>
      <c r="BF253" s="1"/>
      <c r="BG253" s="1"/>
      <c r="BH253" s="1"/>
      <c r="BI253" s="1"/>
      <c r="BJ253" s="1"/>
      <c r="BK253" s="1"/>
      <c r="BL253" s="1"/>
      <c r="BM253" s="1"/>
      <c r="BN253" s="1"/>
      <c r="BO253" s="1"/>
      <c r="BP253" s="1"/>
      <c r="BQ253" s="1"/>
      <c r="BR253" s="1"/>
      <c r="BS253" s="1"/>
      <c r="BT253" s="1"/>
      <c r="BU253" s="1"/>
      <c r="BV253" s="1"/>
      <c r="BW253" s="1"/>
      <c r="BX253" s="1"/>
      <c r="BY253" s="1"/>
      <c r="BZ253" s="1"/>
      <c r="CA253" s="1"/>
      <c r="CM253"/>
      <c r="CN253"/>
      <c r="CO253"/>
      <c r="CP253"/>
      <c r="CQ253"/>
      <c r="CR253"/>
    </row>
    <row r="254" spans="33:96">
      <c r="AG254" s="1"/>
      <c r="AH254" s="1"/>
      <c r="AI254" s="1"/>
      <c r="AJ254" s="1"/>
      <c r="AR254" s="1"/>
      <c r="AS254" s="1"/>
      <c r="AT254" s="1"/>
      <c r="AV254" s="1"/>
      <c r="BC254" s="1"/>
      <c r="BD254" s="1"/>
      <c r="BE254" s="1"/>
      <c r="BF254" s="1"/>
      <c r="BG254" s="1"/>
      <c r="BH254" s="1"/>
      <c r="BI254" s="1"/>
      <c r="BJ254" s="1"/>
      <c r="BK254" s="1"/>
      <c r="BL254" s="1"/>
      <c r="BM254" s="1"/>
      <c r="BN254" s="1"/>
      <c r="BO254" s="1"/>
      <c r="BP254" s="1"/>
      <c r="BQ254" s="1"/>
      <c r="BR254" s="1"/>
      <c r="BS254" s="1"/>
      <c r="BT254" s="1"/>
      <c r="BU254" s="1"/>
      <c r="BV254" s="1"/>
      <c r="BW254" s="1"/>
      <c r="BX254" s="1"/>
      <c r="BY254" s="1"/>
      <c r="BZ254" s="1"/>
      <c r="CA254" s="1"/>
      <c r="CM254"/>
      <c r="CN254"/>
      <c r="CO254"/>
      <c r="CP254"/>
      <c r="CQ254"/>
      <c r="CR254"/>
    </row>
    <row r="255" spans="33:96">
      <c r="AG255" s="1"/>
      <c r="AH255" s="1"/>
      <c r="AI255" s="1"/>
      <c r="AJ255" s="1"/>
      <c r="AR255" s="1"/>
      <c r="AS255" s="1"/>
      <c r="AT255" s="1"/>
      <c r="AV255" s="1"/>
      <c r="BC255" s="1"/>
      <c r="BD255" s="1"/>
      <c r="BE255" s="1"/>
      <c r="BF255" s="1"/>
      <c r="BG255" s="1"/>
      <c r="BH255" s="1"/>
      <c r="BI255" s="1"/>
      <c r="BJ255" s="1"/>
      <c r="BK255" s="1"/>
      <c r="BL255" s="1"/>
      <c r="BM255" s="1"/>
      <c r="BN255" s="1"/>
      <c r="BO255" s="1"/>
      <c r="BP255" s="1"/>
      <c r="BQ255" s="1"/>
      <c r="BR255" s="1"/>
      <c r="BS255" s="1"/>
      <c r="BT255" s="1"/>
      <c r="BU255" s="1"/>
      <c r="BV255" s="1"/>
      <c r="BW255" s="1"/>
      <c r="BX255" s="1"/>
      <c r="BY255" s="1"/>
      <c r="BZ255" s="1"/>
      <c r="CA255" s="1"/>
      <c r="CM255"/>
      <c r="CN255"/>
      <c r="CO255"/>
      <c r="CP255"/>
      <c r="CQ255"/>
      <c r="CR255"/>
    </row>
    <row r="256" spans="33:96">
      <c r="AG256" s="1"/>
      <c r="AH256" s="1"/>
      <c r="AI256" s="1"/>
      <c r="AJ256" s="1"/>
      <c r="AR256" s="1"/>
      <c r="AS256" s="1"/>
      <c r="AT256" s="1"/>
      <c r="AV256" s="1"/>
      <c r="BC256" s="1"/>
      <c r="BD256" s="1"/>
      <c r="BE256" s="1"/>
      <c r="BF256" s="1"/>
      <c r="BG256" s="1"/>
      <c r="BH256" s="1"/>
      <c r="BI256" s="1"/>
      <c r="BJ256" s="1"/>
      <c r="BK256" s="1"/>
      <c r="BL256" s="1"/>
      <c r="BM256" s="1"/>
      <c r="BN256" s="1"/>
      <c r="BO256" s="1"/>
      <c r="BP256" s="1"/>
      <c r="BQ256" s="1"/>
      <c r="BR256" s="1"/>
      <c r="BS256" s="1"/>
      <c r="BT256" s="1"/>
      <c r="BU256" s="1"/>
      <c r="BV256" s="1"/>
      <c r="BW256" s="1"/>
      <c r="BX256" s="1"/>
      <c r="BY256" s="1"/>
      <c r="BZ256" s="1"/>
      <c r="CA256" s="1"/>
      <c r="CM256"/>
      <c r="CN256"/>
      <c r="CO256"/>
      <c r="CP256"/>
      <c r="CQ256"/>
      <c r="CR256"/>
    </row>
    <row r="257" spans="33:96">
      <c r="AG257" s="1"/>
      <c r="AH257" s="1"/>
      <c r="AI257" s="1"/>
      <c r="AJ257" s="1"/>
      <c r="AR257" s="1"/>
      <c r="AS257" s="1"/>
      <c r="AT257" s="1"/>
      <c r="AV257" s="1"/>
      <c r="BC257" s="1"/>
      <c r="BD257" s="1"/>
      <c r="BE257" s="1"/>
      <c r="BF257" s="1"/>
      <c r="BG257" s="1"/>
      <c r="BH257" s="1"/>
      <c r="BI257" s="1"/>
      <c r="BJ257" s="1"/>
      <c r="BK257" s="1"/>
      <c r="BL257" s="1"/>
      <c r="BM257" s="1"/>
      <c r="BN257" s="1"/>
      <c r="BO257" s="1"/>
      <c r="BP257" s="1"/>
      <c r="BQ257" s="1"/>
      <c r="BR257" s="1"/>
      <c r="BS257" s="1"/>
      <c r="BT257" s="1"/>
      <c r="BU257" s="1"/>
      <c r="BV257" s="1"/>
      <c r="BW257" s="1"/>
      <c r="BX257" s="1"/>
      <c r="BY257" s="1"/>
      <c r="BZ257" s="1"/>
      <c r="CA257" s="1"/>
      <c r="CM257"/>
      <c r="CN257"/>
      <c r="CO257"/>
      <c r="CP257"/>
      <c r="CQ257"/>
      <c r="CR257"/>
    </row>
    <row r="258" spans="33:96">
      <c r="AG258" s="1"/>
      <c r="AH258" s="1"/>
      <c r="AI258" s="1"/>
      <c r="AJ258" s="1"/>
      <c r="AR258" s="1"/>
      <c r="AS258" s="1"/>
      <c r="AT258" s="1"/>
      <c r="AV258" s="1"/>
      <c r="BC258" s="1"/>
      <c r="BD258" s="1"/>
      <c r="BE258" s="1"/>
      <c r="BF258" s="1"/>
      <c r="BG258" s="1"/>
      <c r="BH258" s="1"/>
      <c r="BI258" s="1"/>
      <c r="BJ258" s="1"/>
      <c r="BK258" s="1"/>
      <c r="BL258" s="1"/>
      <c r="BM258" s="1"/>
      <c r="BN258" s="1"/>
      <c r="BO258" s="1"/>
      <c r="BP258" s="1"/>
      <c r="BQ258" s="1"/>
      <c r="BR258" s="1"/>
      <c r="BS258" s="1"/>
      <c r="BT258" s="1"/>
      <c r="BU258" s="1"/>
      <c r="BV258" s="1"/>
      <c r="BW258" s="1"/>
      <c r="BX258" s="1"/>
      <c r="BY258" s="1"/>
      <c r="BZ258" s="1"/>
      <c r="CA258" s="1"/>
      <c r="CM258"/>
      <c r="CN258"/>
      <c r="CO258"/>
      <c r="CP258"/>
      <c r="CQ258"/>
      <c r="CR258"/>
    </row>
    <row r="259" spans="33:96">
      <c r="AG259" s="1"/>
      <c r="AH259" s="1"/>
      <c r="AI259" s="1"/>
      <c r="AJ259" s="1"/>
      <c r="AR259" s="1"/>
      <c r="AS259" s="1"/>
      <c r="AT259" s="1"/>
      <c r="AV259" s="1"/>
      <c r="BC259" s="1"/>
      <c r="BD259" s="1"/>
      <c r="BE259" s="1"/>
      <c r="BF259" s="1"/>
      <c r="BG259" s="1"/>
      <c r="BH259" s="1"/>
      <c r="BI259" s="1"/>
      <c r="BJ259" s="1"/>
      <c r="BK259" s="1"/>
      <c r="BL259" s="1"/>
      <c r="BM259" s="1"/>
      <c r="BN259" s="1"/>
      <c r="BO259" s="1"/>
      <c r="BP259" s="1"/>
      <c r="BQ259" s="1"/>
      <c r="BR259" s="1"/>
      <c r="BS259" s="1"/>
      <c r="BT259" s="1"/>
      <c r="BU259" s="1"/>
      <c r="BV259" s="1"/>
      <c r="BW259" s="1"/>
      <c r="BX259" s="1"/>
      <c r="BY259" s="1"/>
      <c r="BZ259" s="1"/>
      <c r="CA259" s="1"/>
      <c r="CM259"/>
      <c r="CN259"/>
      <c r="CO259"/>
      <c r="CP259"/>
      <c r="CQ259"/>
      <c r="CR259"/>
    </row>
    <row r="260" spans="33:96">
      <c r="AG260" s="1"/>
      <c r="AH260" s="1"/>
      <c r="AI260" s="1"/>
      <c r="AJ260" s="1"/>
      <c r="AR260" s="1"/>
      <c r="AS260" s="1"/>
      <c r="AT260" s="1"/>
      <c r="AV260" s="1"/>
      <c r="BC260" s="1"/>
      <c r="BD260" s="1"/>
      <c r="BE260" s="1"/>
      <c r="BF260" s="1"/>
      <c r="BG260" s="1"/>
      <c r="BH260" s="1"/>
      <c r="BI260" s="1"/>
      <c r="BJ260" s="1"/>
      <c r="BK260" s="1"/>
      <c r="BL260" s="1"/>
      <c r="BM260" s="1"/>
      <c r="BN260" s="1"/>
      <c r="BO260" s="1"/>
      <c r="BP260" s="1"/>
      <c r="BQ260" s="1"/>
      <c r="BR260" s="1"/>
      <c r="BS260" s="1"/>
      <c r="BT260" s="1"/>
      <c r="BU260" s="1"/>
      <c r="BV260" s="1"/>
      <c r="BW260" s="1"/>
      <c r="BX260" s="1"/>
      <c r="BY260" s="1"/>
      <c r="BZ260" s="1"/>
      <c r="CA260" s="1"/>
      <c r="CM260"/>
      <c r="CN260"/>
      <c r="CO260"/>
      <c r="CP260"/>
      <c r="CQ260"/>
      <c r="CR260"/>
    </row>
    <row r="261" spans="33:96">
      <c r="AG261" s="1"/>
      <c r="AH261" s="1"/>
      <c r="AI261" s="1"/>
      <c r="AJ261" s="1"/>
      <c r="AR261" s="1"/>
      <c r="AS261" s="1"/>
      <c r="AT261" s="1"/>
      <c r="AV261" s="1"/>
      <c r="BC261" s="1"/>
      <c r="BD261" s="1"/>
      <c r="BE261" s="1"/>
      <c r="BF261" s="1"/>
      <c r="BG261" s="1"/>
      <c r="BH261" s="1"/>
      <c r="BI261" s="1"/>
      <c r="BJ261" s="1"/>
      <c r="BK261" s="1"/>
      <c r="BL261" s="1"/>
      <c r="BM261" s="1"/>
      <c r="BN261" s="1"/>
      <c r="BO261" s="1"/>
      <c r="BP261" s="1"/>
      <c r="BQ261" s="1"/>
      <c r="BR261" s="1"/>
      <c r="BS261" s="1"/>
      <c r="BT261" s="1"/>
      <c r="BU261" s="1"/>
      <c r="BV261" s="1"/>
      <c r="BW261" s="1"/>
      <c r="BX261" s="1"/>
      <c r="BY261" s="1"/>
      <c r="BZ261" s="1"/>
      <c r="CA261" s="1"/>
      <c r="CM261"/>
      <c r="CN261"/>
      <c r="CO261"/>
      <c r="CP261"/>
      <c r="CQ261"/>
      <c r="CR261"/>
    </row>
    <row r="262" spans="33:96">
      <c r="AG262" s="1"/>
      <c r="AH262" s="1"/>
      <c r="AI262" s="1"/>
      <c r="AJ262" s="1"/>
      <c r="AR262" s="1"/>
      <c r="AS262" s="1"/>
      <c r="AT262" s="1"/>
      <c r="AV262" s="1"/>
      <c r="BC262" s="1"/>
      <c r="BD262" s="1"/>
      <c r="BE262" s="1"/>
      <c r="BF262" s="1"/>
      <c r="BG262" s="1"/>
      <c r="BH262" s="1"/>
      <c r="BI262" s="1"/>
      <c r="BJ262" s="1"/>
      <c r="BK262" s="1"/>
      <c r="BL262" s="1"/>
      <c r="BM262" s="1"/>
      <c r="BN262" s="1"/>
      <c r="BO262" s="1"/>
      <c r="BP262" s="1"/>
      <c r="BQ262" s="1"/>
      <c r="BR262" s="1"/>
      <c r="BS262" s="1"/>
      <c r="BT262" s="1"/>
      <c r="BU262" s="1"/>
      <c r="BV262" s="1"/>
      <c r="BW262" s="1"/>
      <c r="BX262" s="1"/>
      <c r="BY262" s="1"/>
      <c r="BZ262" s="1"/>
      <c r="CA262" s="1"/>
      <c r="CM262"/>
      <c r="CN262"/>
      <c r="CO262"/>
      <c r="CP262"/>
      <c r="CQ262"/>
      <c r="CR262"/>
    </row>
    <row r="263" spans="33:96">
      <c r="AG263" s="1"/>
      <c r="AH263" s="1"/>
      <c r="AI263" s="1"/>
      <c r="AJ263" s="1"/>
      <c r="AR263" s="1"/>
      <c r="AS263" s="1"/>
      <c r="AT263" s="1"/>
      <c r="AV263" s="1"/>
      <c r="BC263" s="1"/>
      <c r="BD263" s="1"/>
      <c r="BE263" s="1"/>
      <c r="BF263" s="1"/>
      <c r="BG263" s="1"/>
      <c r="BH263" s="1"/>
      <c r="BI263" s="1"/>
      <c r="BJ263" s="1"/>
      <c r="BK263" s="1"/>
      <c r="BL263" s="1"/>
      <c r="BM263" s="1"/>
      <c r="BN263" s="1"/>
      <c r="BO263" s="1"/>
      <c r="BP263" s="1"/>
      <c r="BQ263" s="1"/>
      <c r="BR263" s="1"/>
      <c r="BS263" s="1"/>
      <c r="BT263" s="1"/>
      <c r="BU263" s="1"/>
      <c r="BV263" s="1"/>
      <c r="BW263" s="1"/>
      <c r="BX263" s="1"/>
      <c r="BY263" s="1"/>
      <c r="BZ263" s="1"/>
      <c r="CA263" s="1"/>
      <c r="CM263"/>
      <c r="CN263"/>
      <c r="CO263"/>
      <c r="CP263"/>
      <c r="CQ263"/>
      <c r="CR263"/>
    </row>
    <row r="264" spans="33:96">
      <c r="AG264" s="1"/>
      <c r="AH264" s="1"/>
      <c r="AI264" s="1"/>
      <c r="AJ264" s="1"/>
      <c r="AR264" s="1"/>
      <c r="AS264" s="1"/>
      <c r="AT264" s="1"/>
      <c r="AV264" s="1"/>
      <c r="BC264" s="1"/>
      <c r="BD264" s="1"/>
      <c r="BE264" s="1"/>
      <c r="BF264" s="1"/>
      <c r="BG264" s="1"/>
      <c r="BH264" s="1"/>
      <c r="BI264" s="1"/>
      <c r="BJ264" s="1"/>
      <c r="BK264" s="1"/>
      <c r="BL264" s="1"/>
      <c r="BM264" s="1"/>
      <c r="BN264" s="1"/>
      <c r="BO264" s="1"/>
      <c r="BP264" s="1"/>
      <c r="BQ264" s="1"/>
      <c r="BR264" s="1"/>
      <c r="BS264" s="1"/>
      <c r="BT264" s="1"/>
      <c r="BU264" s="1"/>
      <c r="BV264" s="1"/>
      <c r="BW264" s="1"/>
      <c r="BX264" s="1"/>
      <c r="BY264" s="1"/>
      <c r="BZ264" s="1"/>
      <c r="CA264" s="1"/>
      <c r="CM264"/>
      <c r="CN264"/>
      <c r="CO264"/>
      <c r="CP264"/>
      <c r="CQ264"/>
      <c r="CR264"/>
    </row>
    <row r="265" spans="33:96">
      <c r="AG265" s="1"/>
      <c r="AH265" s="1"/>
      <c r="AI265" s="1"/>
      <c r="AJ265" s="1"/>
      <c r="AR265" s="1"/>
      <c r="AS265" s="1"/>
      <c r="AT265" s="1"/>
      <c r="AV265" s="1"/>
      <c r="BC265" s="1"/>
      <c r="BD265" s="1"/>
      <c r="BE265" s="1"/>
      <c r="BF265" s="1"/>
      <c r="BG265" s="1"/>
      <c r="BH265" s="1"/>
      <c r="BI265" s="1"/>
      <c r="BJ265" s="1"/>
      <c r="BK265" s="1"/>
      <c r="BL265" s="1"/>
      <c r="BM265" s="1"/>
      <c r="BN265" s="1"/>
      <c r="BO265" s="1"/>
      <c r="BP265" s="1"/>
      <c r="BQ265" s="1"/>
      <c r="BR265" s="1"/>
      <c r="BS265" s="1"/>
      <c r="BT265" s="1"/>
      <c r="BU265" s="1"/>
      <c r="BV265" s="1"/>
      <c r="BW265" s="1"/>
      <c r="BX265" s="1"/>
      <c r="BY265" s="1"/>
      <c r="BZ265" s="1"/>
      <c r="CA265" s="1"/>
      <c r="CM265"/>
      <c r="CN265"/>
      <c r="CO265"/>
      <c r="CP265"/>
      <c r="CQ265"/>
      <c r="CR265"/>
    </row>
    <row r="266" spans="33:96">
      <c r="AG266" s="1"/>
      <c r="AH266" s="1"/>
      <c r="AI266" s="1"/>
      <c r="AJ266" s="1"/>
      <c r="AR266" s="1"/>
      <c r="AS266" s="1"/>
      <c r="AT266" s="1"/>
      <c r="AV266" s="1"/>
      <c r="BC266" s="1"/>
      <c r="BD266" s="1"/>
      <c r="BE266" s="1"/>
      <c r="BF266" s="1"/>
      <c r="BG266" s="1"/>
      <c r="BH266" s="1"/>
      <c r="BI266" s="1"/>
      <c r="BJ266" s="1"/>
      <c r="BK266" s="1"/>
      <c r="BL266" s="1"/>
      <c r="BM266" s="1"/>
      <c r="BN266" s="1"/>
      <c r="BO266" s="1"/>
      <c r="BP266" s="1"/>
      <c r="BQ266" s="1"/>
      <c r="BR266" s="1"/>
      <c r="BS266" s="1"/>
      <c r="BT266" s="1"/>
      <c r="BU266" s="1"/>
      <c r="BV266" s="1"/>
      <c r="BW266" s="1"/>
      <c r="BX266" s="1"/>
      <c r="BY266" s="1"/>
      <c r="BZ266" s="1"/>
      <c r="CA266" s="1"/>
      <c r="CM266"/>
      <c r="CN266"/>
      <c r="CO266"/>
      <c r="CP266"/>
      <c r="CQ266"/>
      <c r="CR266"/>
    </row>
    <row r="267" spans="33:96">
      <c r="AG267" s="1"/>
      <c r="AH267" s="1"/>
      <c r="AI267" s="1"/>
      <c r="AJ267" s="1"/>
      <c r="AR267" s="1"/>
      <c r="AS267" s="1"/>
      <c r="AT267" s="1"/>
      <c r="AV267" s="1"/>
      <c r="BC267" s="1"/>
      <c r="BD267" s="1"/>
      <c r="BE267" s="1"/>
      <c r="BF267" s="1"/>
      <c r="BG267" s="1"/>
      <c r="BH267" s="1"/>
      <c r="BI267" s="1"/>
      <c r="BJ267" s="1"/>
      <c r="BK267" s="1"/>
      <c r="BL267" s="1"/>
      <c r="BM267" s="1"/>
      <c r="BN267" s="1"/>
      <c r="BO267" s="1"/>
      <c r="BP267" s="1"/>
      <c r="BQ267" s="1"/>
      <c r="BR267" s="1"/>
      <c r="BS267" s="1"/>
      <c r="BT267" s="1"/>
      <c r="BU267" s="1"/>
      <c r="BV267" s="1"/>
      <c r="BW267" s="1"/>
      <c r="BX267" s="1"/>
      <c r="BY267" s="1"/>
      <c r="BZ267" s="1"/>
      <c r="CA267" s="1"/>
      <c r="CM267"/>
      <c r="CN267"/>
      <c r="CO267"/>
      <c r="CP267"/>
      <c r="CQ267"/>
      <c r="CR267"/>
    </row>
    <row r="268" spans="33:96">
      <c r="AG268" s="1"/>
      <c r="AH268" s="1"/>
      <c r="AI268" s="1"/>
      <c r="AJ268" s="1"/>
      <c r="AR268" s="1"/>
      <c r="AS268" s="1"/>
      <c r="AT268" s="1"/>
      <c r="AV268" s="1"/>
      <c r="BC268" s="1"/>
      <c r="BD268" s="1"/>
      <c r="BE268" s="1"/>
      <c r="BF268" s="1"/>
      <c r="BG268" s="1"/>
      <c r="BH268" s="1"/>
      <c r="BI268" s="1"/>
      <c r="BJ268" s="1"/>
      <c r="BK268" s="1"/>
      <c r="BL268" s="1"/>
      <c r="BM268" s="1"/>
      <c r="BN268" s="1"/>
      <c r="BO268" s="1"/>
      <c r="BP268" s="1"/>
      <c r="BQ268" s="1"/>
      <c r="BR268" s="1"/>
      <c r="BS268" s="1"/>
      <c r="BT268" s="1"/>
      <c r="BU268" s="1"/>
      <c r="BV268" s="1"/>
      <c r="BW268" s="1"/>
      <c r="BX268" s="1"/>
      <c r="BY268" s="1"/>
      <c r="BZ268" s="1"/>
      <c r="CA268" s="1"/>
      <c r="CM268"/>
      <c r="CN268"/>
      <c r="CO268"/>
      <c r="CP268"/>
      <c r="CQ268"/>
      <c r="CR268"/>
    </row>
    <row r="269" spans="33:96">
      <c r="AG269" s="1"/>
      <c r="AH269" s="1"/>
      <c r="AI269" s="1"/>
      <c r="AJ269" s="1"/>
      <c r="AR269" s="1"/>
      <c r="AS269" s="1"/>
      <c r="AT269" s="1"/>
      <c r="AV269" s="1"/>
      <c r="BC269" s="1"/>
      <c r="BD269" s="1"/>
      <c r="BE269" s="1"/>
      <c r="BF269" s="1"/>
      <c r="BG269" s="1"/>
      <c r="BH269" s="1"/>
      <c r="BI269" s="1"/>
      <c r="BJ269" s="1"/>
      <c r="BK269" s="1"/>
      <c r="BL269" s="1"/>
      <c r="BM269" s="1"/>
      <c r="BN269" s="1"/>
      <c r="BO269" s="1"/>
      <c r="BP269" s="1"/>
      <c r="BQ269" s="1"/>
      <c r="BR269" s="1"/>
      <c r="BS269" s="1"/>
      <c r="BT269" s="1"/>
      <c r="BU269" s="1"/>
      <c r="BV269" s="1"/>
      <c r="BW269" s="1"/>
      <c r="BX269" s="1"/>
      <c r="BY269" s="1"/>
      <c r="BZ269" s="1"/>
      <c r="CA269" s="1"/>
      <c r="CM269"/>
      <c r="CN269"/>
      <c r="CO269"/>
      <c r="CP269"/>
      <c r="CQ269"/>
      <c r="CR269"/>
    </row>
    <row r="270" spans="33:96">
      <c r="AG270" s="1"/>
      <c r="AH270" s="1"/>
      <c r="AI270" s="1"/>
      <c r="AJ270" s="1"/>
      <c r="AR270" s="1"/>
      <c r="AS270" s="1"/>
      <c r="AT270" s="1"/>
      <c r="AV270" s="1"/>
      <c r="BC270" s="1"/>
      <c r="BD270" s="1"/>
      <c r="BE270" s="1"/>
      <c r="BF270" s="1"/>
      <c r="BG270" s="1"/>
      <c r="BH270" s="1"/>
      <c r="BI270" s="1"/>
      <c r="BJ270" s="1"/>
      <c r="BK270" s="1"/>
      <c r="BL270" s="1"/>
      <c r="BM270" s="1"/>
      <c r="BN270" s="1"/>
      <c r="BO270" s="1"/>
      <c r="BP270" s="1"/>
      <c r="BQ270" s="1"/>
      <c r="BR270" s="1"/>
      <c r="BS270" s="1"/>
      <c r="BT270" s="1"/>
      <c r="BU270" s="1"/>
      <c r="BV270" s="1"/>
      <c r="BW270" s="1"/>
      <c r="BX270" s="1"/>
      <c r="BY270" s="1"/>
      <c r="BZ270" s="1"/>
      <c r="CA270" s="1"/>
      <c r="CM270"/>
      <c r="CN270"/>
      <c r="CO270"/>
      <c r="CP270"/>
      <c r="CQ270"/>
      <c r="CR270"/>
    </row>
    <row r="271" spans="33:96">
      <c r="AG271" s="1"/>
      <c r="AH271" s="1"/>
      <c r="AI271" s="1"/>
      <c r="AJ271" s="1"/>
      <c r="AR271" s="1"/>
      <c r="AS271" s="1"/>
      <c r="AT271" s="1"/>
      <c r="AV271" s="1"/>
      <c r="BC271" s="1"/>
      <c r="BD271" s="1"/>
      <c r="BE271" s="1"/>
      <c r="BF271" s="1"/>
      <c r="BG271" s="1"/>
      <c r="BH271" s="1"/>
      <c r="BI271" s="1"/>
      <c r="BJ271" s="1"/>
      <c r="BK271" s="1"/>
      <c r="BL271" s="1"/>
      <c r="BM271" s="1"/>
      <c r="BN271" s="1"/>
      <c r="BO271" s="1"/>
      <c r="BP271" s="1"/>
      <c r="BQ271" s="1"/>
      <c r="BR271" s="1"/>
      <c r="BS271" s="1"/>
      <c r="BT271" s="1"/>
      <c r="BU271" s="1"/>
      <c r="BV271" s="1"/>
      <c r="BW271" s="1"/>
      <c r="BX271" s="1"/>
      <c r="BY271" s="1"/>
      <c r="BZ271" s="1"/>
      <c r="CA271" s="1"/>
      <c r="CM271"/>
      <c r="CN271"/>
      <c r="CO271"/>
      <c r="CP271"/>
      <c r="CQ271"/>
      <c r="CR271"/>
    </row>
    <row r="272" spans="33:96">
      <c r="AG272" s="1"/>
      <c r="AH272" s="1"/>
      <c r="AI272" s="1"/>
      <c r="AJ272" s="1"/>
      <c r="AR272" s="1"/>
      <c r="AS272" s="1"/>
      <c r="AT272" s="1"/>
      <c r="AV272" s="1"/>
      <c r="BC272" s="1"/>
      <c r="BD272" s="1"/>
      <c r="BE272" s="1"/>
      <c r="BF272" s="1"/>
      <c r="BG272" s="1"/>
      <c r="BH272" s="1"/>
      <c r="BI272" s="1"/>
      <c r="BJ272" s="1"/>
      <c r="BK272" s="1"/>
      <c r="BL272" s="1"/>
      <c r="BM272" s="1"/>
      <c r="BN272" s="1"/>
      <c r="BO272" s="1"/>
      <c r="BP272" s="1"/>
      <c r="BQ272" s="1"/>
      <c r="BR272" s="1"/>
      <c r="BS272" s="1"/>
      <c r="BT272" s="1"/>
      <c r="BU272" s="1"/>
      <c r="BV272" s="1"/>
      <c r="BW272" s="1"/>
      <c r="BX272" s="1"/>
      <c r="BY272" s="1"/>
      <c r="BZ272" s="1"/>
      <c r="CA272" s="1"/>
      <c r="CM272"/>
      <c r="CN272"/>
      <c r="CO272"/>
      <c r="CP272"/>
      <c r="CQ272"/>
      <c r="CR272"/>
    </row>
    <row r="273" spans="33:96">
      <c r="AG273" s="1"/>
      <c r="AH273" s="1"/>
      <c r="AI273" s="1"/>
      <c r="AJ273" s="1"/>
      <c r="AR273" s="1"/>
      <c r="AS273" s="1"/>
      <c r="AT273" s="1"/>
      <c r="AV273" s="1"/>
      <c r="BC273" s="1"/>
      <c r="BD273" s="1"/>
      <c r="BE273" s="1"/>
      <c r="BF273" s="1"/>
      <c r="BG273" s="1"/>
      <c r="BH273" s="1"/>
      <c r="BI273" s="1"/>
      <c r="BJ273" s="1"/>
      <c r="BK273" s="1"/>
      <c r="BL273" s="1"/>
      <c r="BM273" s="1"/>
      <c r="BN273" s="1"/>
      <c r="BO273" s="1"/>
      <c r="BP273" s="1"/>
      <c r="BQ273" s="1"/>
      <c r="BR273" s="1"/>
      <c r="BS273" s="1"/>
      <c r="BT273" s="1"/>
      <c r="BU273" s="1"/>
      <c r="BV273" s="1"/>
      <c r="BW273" s="1"/>
      <c r="BX273" s="1"/>
      <c r="BY273" s="1"/>
      <c r="BZ273" s="1"/>
      <c r="CA273" s="1"/>
      <c r="CM273"/>
      <c r="CN273"/>
      <c r="CO273"/>
      <c r="CP273"/>
      <c r="CQ273"/>
      <c r="CR273"/>
    </row>
    <row r="274" spans="33:96">
      <c r="AG274" s="1"/>
      <c r="AH274" s="1"/>
      <c r="AI274" s="1"/>
      <c r="AJ274" s="1"/>
      <c r="AR274" s="1"/>
      <c r="AS274" s="1"/>
      <c r="AT274" s="1"/>
      <c r="AV274" s="1"/>
      <c r="BC274" s="1"/>
      <c r="BD274" s="1"/>
      <c r="BE274" s="1"/>
      <c r="BF274" s="1"/>
      <c r="BG274" s="1"/>
      <c r="BH274" s="1"/>
      <c r="BI274" s="1"/>
      <c r="BJ274" s="1"/>
      <c r="BK274" s="1"/>
      <c r="BL274" s="1"/>
      <c r="BM274" s="1"/>
      <c r="BN274" s="1"/>
      <c r="BO274" s="1"/>
      <c r="BP274" s="1"/>
      <c r="BQ274" s="1"/>
      <c r="BR274" s="1"/>
      <c r="BS274" s="1"/>
      <c r="BT274" s="1"/>
      <c r="BU274" s="1"/>
      <c r="BV274" s="1"/>
      <c r="BW274" s="1"/>
      <c r="BX274" s="1"/>
      <c r="BY274" s="1"/>
      <c r="BZ274" s="1"/>
      <c r="CA274" s="1"/>
      <c r="CM274"/>
      <c r="CN274"/>
      <c r="CO274"/>
      <c r="CP274"/>
      <c r="CQ274"/>
      <c r="CR274"/>
    </row>
    <row r="275" spans="33:96">
      <c r="AG275" s="1"/>
      <c r="AH275" s="1"/>
      <c r="AI275" s="1"/>
      <c r="AJ275" s="1"/>
      <c r="AR275" s="1"/>
      <c r="AS275" s="1"/>
      <c r="AT275" s="1"/>
      <c r="AV275" s="1"/>
      <c r="BC275" s="1"/>
      <c r="BD275" s="1"/>
      <c r="BE275" s="1"/>
      <c r="BF275" s="1"/>
      <c r="BG275" s="1"/>
      <c r="BH275" s="1"/>
      <c r="BI275" s="1"/>
      <c r="BJ275" s="1"/>
      <c r="BK275" s="1"/>
      <c r="BL275" s="1"/>
      <c r="BM275" s="1"/>
      <c r="BN275" s="1"/>
      <c r="BO275" s="1"/>
      <c r="BP275" s="1"/>
      <c r="BQ275" s="1"/>
      <c r="BR275" s="1"/>
      <c r="BS275" s="1"/>
      <c r="BT275" s="1"/>
      <c r="BU275" s="1"/>
      <c r="BV275" s="1"/>
      <c r="BW275" s="1"/>
      <c r="BX275" s="1"/>
      <c r="BY275" s="1"/>
      <c r="BZ275" s="1"/>
      <c r="CA275" s="1"/>
      <c r="CM275"/>
      <c r="CN275"/>
      <c r="CO275"/>
      <c r="CP275"/>
      <c r="CQ275"/>
      <c r="CR275"/>
    </row>
    <row r="276" spans="33:96">
      <c r="AG276" s="1"/>
      <c r="AH276" s="1"/>
      <c r="AI276" s="1"/>
      <c r="AJ276" s="1"/>
      <c r="AR276" s="1"/>
      <c r="AS276" s="1"/>
      <c r="AT276" s="1"/>
      <c r="AV276" s="1"/>
      <c r="BC276" s="1"/>
      <c r="BD276" s="1"/>
      <c r="BE276" s="1"/>
      <c r="BF276" s="1"/>
      <c r="BG276" s="1"/>
      <c r="BH276" s="1"/>
      <c r="BI276" s="1"/>
      <c r="BJ276" s="1"/>
      <c r="BK276" s="1"/>
      <c r="BL276" s="1"/>
      <c r="BM276" s="1"/>
      <c r="BN276" s="1"/>
      <c r="BO276" s="1"/>
      <c r="BP276" s="1"/>
      <c r="BQ276" s="1"/>
      <c r="BR276" s="1"/>
      <c r="BS276" s="1"/>
      <c r="BT276" s="1"/>
      <c r="BU276" s="1"/>
      <c r="BV276" s="1"/>
      <c r="BW276" s="1"/>
      <c r="BX276" s="1"/>
      <c r="BY276" s="1"/>
      <c r="BZ276" s="1"/>
      <c r="CA276" s="1"/>
      <c r="CM276"/>
      <c r="CN276"/>
      <c r="CO276"/>
      <c r="CP276"/>
      <c r="CQ276"/>
      <c r="CR276"/>
    </row>
    <row r="277" spans="33:96">
      <c r="AG277" s="1"/>
      <c r="AH277" s="1"/>
      <c r="AI277" s="1"/>
      <c r="AJ277" s="1"/>
      <c r="AR277" s="1"/>
      <c r="AS277" s="1"/>
      <c r="AT277" s="1"/>
      <c r="AV277" s="1"/>
      <c r="BC277" s="1"/>
      <c r="BD277" s="1"/>
      <c r="BE277" s="1"/>
      <c r="BF277" s="1"/>
      <c r="BG277" s="1"/>
      <c r="BH277" s="1"/>
      <c r="BI277" s="1"/>
      <c r="BJ277" s="1"/>
      <c r="BK277" s="1"/>
      <c r="BL277" s="1"/>
      <c r="BM277" s="1"/>
      <c r="BN277" s="1"/>
      <c r="BO277" s="1"/>
      <c r="BP277" s="1"/>
      <c r="BQ277" s="1"/>
      <c r="BR277" s="1"/>
      <c r="BS277" s="1"/>
      <c r="BT277" s="1"/>
      <c r="BU277" s="1"/>
      <c r="BV277" s="1"/>
      <c r="BW277" s="1"/>
      <c r="BX277" s="1"/>
      <c r="BY277" s="1"/>
      <c r="BZ277" s="1"/>
      <c r="CA277" s="1"/>
      <c r="CM277"/>
      <c r="CN277"/>
      <c r="CO277"/>
      <c r="CP277"/>
      <c r="CQ277"/>
      <c r="CR277"/>
    </row>
    <row r="278" spans="33:96">
      <c r="AG278" s="1"/>
      <c r="AH278" s="1"/>
      <c r="AI278" s="1"/>
      <c r="AJ278" s="1"/>
      <c r="AR278" s="1"/>
      <c r="AS278" s="1"/>
      <c r="AT278" s="1"/>
      <c r="AV278" s="1"/>
      <c r="BC278" s="1"/>
      <c r="BD278" s="1"/>
      <c r="BE278" s="1"/>
      <c r="BF278" s="1"/>
      <c r="BG278" s="1"/>
      <c r="BH278" s="1"/>
      <c r="BI278" s="1"/>
      <c r="BJ278" s="1"/>
      <c r="BK278" s="1"/>
      <c r="BL278" s="1"/>
      <c r="BM278" s="1"/>
      <c r="BN278" s="1"/>
      <c r="BO278" s="1"/>
      <c r="BP278" s="1"/>
      <c r="BQ278" s="1"/>
      <c r="BR278" s="1"/>
      <c r="BS278" s="1"/>
      <c r="BT278" s="1"/>
      <c r="BU278" s="1"/>
      <c r="BV278" s="1"/>
      <c r="BW278" s="1"/>
      <c r="BX278" s="1"/>
      <c r="BY278" s="1"/>
      <c r="BZ278" s="1"/>
      <c r="CA278" s="1"/>
      <c r="CM278"/>
      <c r="CN278"/>
      <c r="CO278"/>
      <c r="CP278"/>
      <c r="CQ278"/>
      <c r="CR278"/>
    </row>
    <row r="279" spans="33:96">
      <c r="AG279" s="1"/>
      <c r="AH279" s="1"/>
      <c r="AI279" s="1"/>
      <c r="AJ279" s="1"/>
      <c r="AR279" s="1"/>
      <c r="AS279" s="1"/>
      <c r="AT279" s="1"/>
      <c r="AV279" s="1"/>
      <c r="BC279" s="1"/>
      <c r="BD279" s="1"/>
      <c r="BE279" s="1"/>
      <c r="BF279" s="1"/>
      <c r="BG279" s="1"/>
      <c r="BH279" s="1"/>
      <c r="BI279" s="1"/>
      <c r="BJ279" s="1"/>
      <c r="BK279" s="1"/>
      <c r="BL279" s="1"/>
      <c r="BM279" s="1"/>
      <c r="BN279" s="1"/>
      <c r="BO279" s="1"/>
      <c r="BP279" s="1"/>
      <c r="BQ279" s="1"/>
      <c r="BR279" s="1"/>
      <c r="BS279" s="1"/>
      <c r="BT279" s="1"/>
      <c r="BU279" s="1"/>
      <c r="BV279" s="1"/>
      <c r="BW279" s="1"/>
      <c r="BX279" s="1"/>
      <c r="BY279" s="1"/>
      <c r="BZ279" s="1"/>
      <c r="CA279" s="1"/>
      <c r="CM279"/>
      <c r="CN279"/>
      <c r="CO279"/>
      <c r="CP279"/>
      <c r="CQ279"/>
      <c r="CR279"/>
    </row>
    <row r="280" spans="33:96">
      <c r="AG280" s="1"/>
      <c r="AH280" s="1"/>
      <c r="AI280" s="1"/>
      <c r="AJ280" s="1"/>
      <c r="AR280" s="1"/>
      <c r="AS280" s="1"/>
      <c r="AT280" s="1"/>
      <c r="AV280" s="1"/>
      <c r="BC280" s="1"/>
      <c r="BD280" s="1"/>
      <c r="BE280" s="1"/>
      <c r="BF280" s="1"/>
      <c r="BG280" s="1"/>
      <c r="BH280" s="1"/>
      <c r="BI280" s="1"/>
      <c r="BJ280" s="1"/>
      <c r="BK280" s="1"/>
      <c r="BL280" s="1"/>
      <c r="BM280" s="1"/>
      <c r="BN280" s="1"/>
      <c r="BO280" s="1"/>
      <c r="BP280" s="1"/>
      <c r="BQ280" s="1"/>
      <c r="BR280" s="1"/>
      <c r="BS280" s="1"/>
      <c r="BT280" s="1"/>
      <c r="BU280" s="1"/>
      <c r="BV280" s="1"/>
      <c r="BW280" s="1"/>
      <c r="BX280" s="1"/>
      <c r="BY280" s="1"/>
      <c r="BZ280" s="1"/>
      <c r="CA280" s="1"/>
      <c r="CM280"/>
      <c r="CN280"/>
      <c r="CO280"/>
      <c r="CP280"/>
      <c r="CQ280"/>
      <c r="CR280"/>
    </row>
    <row r="281" spans="33:96">
      <c r="AG281" s="1"/>
      <c r="AH281" s="1"/>
      <c r="AI281" s="1"/>
      <c r="AJ281" s="1"/>
      <c r="AR281" s="1"/>
      <c r="AS281" s="1"/>
      <c r="AT281" s="1"/>
      <c r="AV281" s="1"/>
      <c r="BC281" s="1"/>
      <c r="BD281" s="1"/>
      <c r="BE281" s="1"/>
      <c r="BF281" s="1"/>
      <c r="BG281" s="1"/>
      <c r="BH281" s="1"/>
      <c r="BI281" s="1"/>
      <c r="BJ281" s="1"/>
      <c r="BK281" s="1"/>
      <c r="BL281" s="1"/>
      <c r="BM281" s="1"/>
      <c r="BN281" s="1"/>
      <c r="BO281" s="1"/>
      <c r="BP281" s="1"/>
      <c r="BQ281" s="1"/>
      <c r="BR281" s="1"/>
      <c r="BS281" s="1"/>
      <c r="BT281" s="1"/>
      <c r="BU281" s="1"/>
      <c r="BV281" s="1"/>
      <c r="BW281" s="1"/>
      <c r="BX281" s="1"/>
      <c r="BY281" s="1"/>
      <c r="BZ281" s="1"/>
      <c r="CA281" s="1"/>
      <c r="CM281"/>
      <c r="CN281"/>
      <c r="CO281"/>
      <c r="CP281"/>
      <c r="CQ281"/>
      <c r="CR281"/>
    </row>
    <row r="282" spans="33:96">
      <c r="AG282" s="1"/>
      <c r="AH282" s="1"/>
      <c r="AI282" s="1"/>
      <c r="AJ282" s="1"/>
      <c r="AR282" s="1"/>
      <c r="AS282" s="1"/>
      <c r="AT282" s="1"/>
      <c r="AV282" s="1"/>
      <c r="BC282" s="1"/>
      <c r="BD282" s="1"/>
      <c r="BE282" s="1"/>
      <c r="BF282" s="1"/>
      <c r="BG282" s="1"/>
      <c r="BH282" s="1"/>
      <c r="BI282" s="1"/>
      <c r="BJ282" s="1"/>
      <c r="BK282" s="1"/>
      <c r="BL282" s="1"/>
      <c r="BM282" s="1"/>
      <c r="BN282" s="1"/>
      <c r="BO282" s="1"/>
      <c r="BP282" s="1"/>
      <c r="BQ282" s="1"/>
      <c r="BR282" s="1"/>
      <c r="BS282" s="1"/>
      <c r="BT282" s="1"/>
      <c r="BU282" s="1"/>
      <c r="BV282" s="1"/>
      <c r="BW282" s="1"/>
      <c r="BX282" s="1"/>
      <c r="BY282" s="1"/>
      <c r="BZ282" s="1"/>
      <c r="CA282" s="1"/>
      <c r="CM282"/>
      <c r="CN282"/>
      <c r="CO282"/>
      <c r="CP282"/>
      <c r="CQ282"/>
      <c r="CR282"/>
    </row>
    <row r="283" spans="33:96">
      <c r="AG283" s="1"/>
      <c r="AH283" s="1"/>
      <c r="AI283" s="1"/>
      <c r="AJ283" s="1"/>
      <c r="AR283" s="1"/>
      <c r="AS283" s="1"/>
      <c r="AT283" s="1"/>
      <c r="AV283" s="1"/>
      <c r="BC283" s="1"/>
      <c r="BD283" s="1"/>
      <c r="BE283" s="1"/>
      <c r="BF283" s="1"/>
      <c r="BG283" s="1"/>
      <c r="BH283" s="1"/>
      <c r="BI283" s="1"/>
      <c r="BJ283" s="1"/>
      <c r="BK283" s="1"/>
      <c r="BL283" s="1"/>
      <c r="BM283" s="1"/>
      <c r="BN283" s="1"/>
      <c r="BO283" s="1"/>
      <c r="BP283" s="1"/>
      <c r="BQ283" s="1"/>
      <c r="BR283" s="1"/>
      <c r="BS283" s="1"/>
      <c r="BT283" s="1"/>
      <c r="BU283" s="1"/>
      <c r="BV283" s="1"/>
      <c r="BW283" s="1"/>
      <c r="BX283" s="1"/>
      <c r="BY283" s="1"/>
      <c r="BZ283" s="1"/>
      <c r="CA283" s="1"/>
      <c r="CM283"/>
      <c r="CN283"/>
      <c r="CO283"/>
      <c r="CP283"/>
      <c r="CQ283"/>
      <c r="CR283"/>
    </row>
    <row r="284" spans="33:96">
      <c r="AG284" s="1"/>
      <c r="AH284" s="1"/>
      <c r="AI284" s="1"/>
      <c r="AJ284" s="1"/>
      <c r="AR284" s="1"/>
      <c r="AS284" s="1"/>
      <c r="AT284" s="1"/>
      <c r="AV284" s="1"/>
      <c r="BC284" s="1"/>
      <c r="BD284" s="1"/>
      <c r="BE284" s="1"/>
      <c r="BF284" s="1"/>
      <c r="BG284" s="1"/>
      <c r="BH284" s="1"/>
      <c r="BI284" s="1"/>
      <c r="BJ284" s="1"/>
      <c r="BK284" s="1"/>
      <c r="BL284" s="1"/>
      <c r="BM284" s="1"/>
      <c r="BN284" s="1"/>
      <c r="BO284" s="1"/>
      <c r="BP284" s="1"/>
      <c r="BQ284" s="1"/>
      <c r="BR284" s="1"/>
      <c r="BS284" s="1"/>
      <c r="BT284" s="1"/>
      <c r="BU284" s="1"/>
      <c r="BV284" s="1"/>
      <c r="BW284" s="1"/>
      <c r="BX284" s="1"/>
      <c r="BY284" s="1"/>
      <c r="BZ284" s="1"/>
      <c r="CA284" s="1"/>
      <c r="CM284"/>
      <c r="CN284"/>
      <c r="CO284"/>
      <c r="CP284"/>
      <c r="CQ284"/>
      <c r="CR284"/>
    </row>
    <row r="285" spans="33:96">
      <c r="AG285" s="1"/>
      <c r="AH285" s="1"/>
      <c r="AI285" s="1"/>
      <c r="AJ285" s="1"/>
      <c r="AR285" s="1"/>
      <c r="AS285" s="1"/>
      <c r="AT285" s="1"/>
      <c r="AV285" s="1"/>
      <c r="BC285" s="1"/>
      <c r="BD285" s="1"/>
      <c r="BE285" s="1"/>
      <c r="BF285" s="1"/>
      <c r="BG285" s="1"/>
      <c r="BH285" s="1"/>
      <c r="BI285" s="1"/>
      <c r="BJ285" s="1"/>
      <c r="BK285" s="1"/>
      <c r="BL285" s="1"/>
      <c r="BM285" s="1"/>
      <c r="BN285" s="1"/>
      <c r="BO285" s="1"/>
      <c r="BP285" s="1"/>
      <c r="BQ285" s="1"/>
      <c r="BR285" s="1"/>
      <c r="BS285" s="1"/>
      <c r="BT285" s="1"/>
      <c r="BU285" s="1"/>
      <c r="BV285" s="1"/>
      <c r="BW285" s="1"/>
      <c r="BX285" s="1"/>
      <c r="BY285" s="1"/>
      <c r="BZ285" s="1"/>
      <c r="CA285" s="1"/>
      <c r="CM285"/>
      <c r="CN285"/>
      <c r="CO285"/>
      <c r="CP285"/>
      <c r="CQ285"/>
      <c r="CR285"/>
    </row>
    <row r="286" spans="33:96">
      <c r="AG286" s="1"/>
      <c r="AH286" s="1"/>
      <c r="AI286" s="1"/>
      <c r="AJ286" s="1"/>
      <c r="AR286" s="1"/>
      <c r="AS286" s="1"/>
      <c r="AT286" s="1"/>
      <c r="AV286" s="1"/>
      <c r="BC286" s="1"/>
      <c r="BD286" s="1"/>
      <c r="BE286" s="1"/>
      <c r="BF286" s="1"/>
      <c r="BG286" s="1"/>
      <c r="BH286" s="1"/>
      <c r="BI286" s="1"/>
      <c r="BJ286" s="1"/>
      <c r="BK286" s="1"/>
      <c r="BL286" s="1"/>
      <c r="BM286" s="1"/>
      <c r="BN286" s="1"/>
      <c r="BO286" s="1"/>
      <c r="BP286" s="1"/>
      <c r="BQ286" s="1"/>
      <c r="BR286" s="1"/>
      <c r="BS286" s="1"/>
      <c r="BT286" s="1"/>
      <c r="BU286" s="1"/>
      <c r="BV286" s="1"/>
      <c r="BW286" s="1"/>
      <c r="BX286" s="1"/>
      <c r="BY286" s="1"/>
      <c r="BZ286" s="1"/>
      <c r="CA286" s="1"/>
      <c r="CM286"/>
      <c r="CN286"/>
      <c r="CO286"/>
      <c r="CP286"/>
      <c r="CQ286"/>
      <c r="CR286"/>
    </row>
    <row r="287" spans="33:96">
      <c r="AG287" s="1"/>
      <c r="AH287" s="1"/>
      <c r="AI287" s="1"/>
      <c r="AJ287" s="1"/>
      <c r="AR287" s="1"/>
      <c r="AS287" s="1"/>
      <c r="AT287" s="1"/>
      <c r="AV287" s="1"/>
      <c r="BC287" s="1"/>
      <c r="BD287" s="1"/>
      <c r="BE287" s="1"/>
      <c r="BF287" s="1"/>
      <c r="BG287" s="1"/>
      <c r="BH287" s="1"/>
      <c r="BI287" s="1"/>
      <c r="BJ287" s="1"/>
      <c r="BK287" s="1"/>
      <c r="BL287" s="1"/>
      <c r="BM287" s="1"/>
      <c r="BN287" s="1"/>
      <c r="BO287" s="1"/>
      <c r="BP287" s="1"/>
      <c r="BQ287" s="1"/>
      <c r="BR287" s="1"/>
      <c r="BS287" s="1"/>
      <c r="BT287" s="1"/>
      <c r="BU287" s="1"/>
      <c r="BV287" s="1"/>
      <c r="BW287" s="1"/>
      <c r="BX287" s="1"/>
      <c r="BY287" s="1"/>
      <c r="BZ287" s="1"/>
      <c r="CA287" s="1"/>
      <c r="CM287"/>
      <c r="CN287"/>
      <c r="CO287"/>
      <c r="CP287"/>
      <c r="CQ287"/>
      <c r="CR287"/>
    </row>
    <row r="288" spans="33:96">
      <c r="AG288" s="1"/>
      <c r="AH288" s="1"/>
      <c r="AI288" s="1"/>
      <c r="AJ288" s="1"/>
      <c r="AR288" s="1"/>
      <c r="AS288" s="1"/>
      <c r="AT288" s="1"/>
      <c r="AV288" s="1"/>
      <c r="BC288" s="1"/>
      <c r="BD288" s="1"/>
      <c r="BE288" s="1"/>
      <c r="BF288" s="1"/>
      <c r="BG288" s="1"/>
      <c r="BH288" s="1"/>
      <c r="BI288" s="1"/>
      <c r="BJ288" s="1"/>
      <c r="BK288" s="1"/>
      <c r="BL288" s="1"/>
      <c r="BM288" s="1"/>
      <c r="BN288" s="1"/>
      <c r="BO288" s="1"/>
      <c r="BP288" s="1"/>
      <c r="BQ288" s="1"/>
      <c r="BR288" s="1"/>
      <c r="BS288" s="1"/>
      <c r="BT288" s="1"/>
      <c r="BU288" s="1"/>
      <c r="BV288" s="1"/>
      <c r="BW288" s="1"/>
      <c r="BX288" s="1"/>
      <c r="BY288" s="1"/>
      <c r="BZ288" s="1"/>
      <c r="CA288" s="1"/>
      <c r="CM288"/>
      <c r="CN288"/>
      <c r="CO288"/>
      <c r="CP288"/>
      <c r="CQ288"/>
      <c r="CR288"/>
    </row>
    <row r="289" spans="33:96">
      <c r="AG289" s="1"/>
      <c r="AH289" s="1"/>
      <c r="AI289" s="1"/>
      <c r="AJ289" s="1"/>
      <c r="AR289" s="1"/>
      <c r="AS289" s="1"/>
      <c r="AT289" s="1"/>
      <c r="AV289" s="1"/>
      <c r="BC289" s="1"/>
      <c r="BD289" s="1"/>
      <c r="BE289" s="1"/>
      <c r="BF289" s="1"/>
      <c r="BG289" s="1"/>
      <c r="BH289" s="1"/>
      <c r="BI289" s="1"/>
      <c r="BJ289" s="1"/>
      <c r="BK289" s="1"/>
      <c r="BL289" s="1"/>
      <c r="BM289" s="1"/>
      <c r="BN289" s="1"/>
      <c r="BO289" s="1"/>
      <c r="BP289" s="1"/>
      <c r="BQ289" s="1"/>
      <c r="BR289" s="1"/>
      <c r="BS289" s="1"/>
      <c r="BT289" s="1"/>
      <c r="BU289" s="1"/>
      <c r="BV289" s="1"/>
      <c r="BW289" s="1"/>
      <c r="BX289" s="1"/>
      <c r="BY289" s="1"/>
      <c r="BZ289" s="1"/>
      <c r="CA289" s="1"/>
      <c r="CM289"/>
      <c r="CN289"/>
      <c r="CO289"/>
      <c r="CP289"/>
      <c r="CQ289"/>
      <c r="CR289"/>
    </row>
    <row r="290" spans="33:96">
      <c r="AG290" s="1"/>
      <c r="AH290" s="1"/>
      <c r="AI290" s="1"/>
      <c r="AJ290" s="1"/>
      <c r="AR290" s="1"/>
      <c r="AS290" s="1"/>
      <c r="AT290" s="1"/>
      <c r="AV290" s="1"/>
      <c r="BC290" s="1"/>
      <c r="BD290" s="1"/>
      <c r="BE290" s="1"/>
      <c r="BF290" s="1"/>
      <c r="BG290" s="1"/>
      <c r="BH290" s="1"/>
      <c r="BI290" s="1"/>
      <c r="BJ290" s="1"/>
      <c r="BK290" s="1"/>
      <c r="BL290" s="1"/>
      <c r="BM290" s="1"/>
      <c r="BN290" s="1"/>
      <c r="BO290" s="1"/>
      <c r="BP290" s="1"/>
      <c r="BQ290" s="1"/>
      <c r="BR290" s="1"/>
      <c r="BS290" s="1"/>
      <c r="BT290" s="1"/>
      <c r="BU290" s="1"/>
      <c r="BV290" s="1"/>
      <c r="BW290" s="1"/>
      <c r="BX290" s="1"/>
      <c r="BY290" s="1"/>
      <c r="BZ290" s="1"/>
      <c r="CA290" s="1"/>
      <c r="CM290"/>
      <c r="CN290"/>
      <c r="CO290"/>
      <c r="CP290"/>
      <c r="CQ290"/>
      <c r="CR290"/>
    </row>
    <row r="291" spans="33:96">
      <c r="AG291" s="1"/>
      <c r="AH291" s="1"/>
      <c r="AI291" s="1"/>
      <c r="AJ291" s="1"/>
      <c r="AR291" s="1"/>
      <c r="AS291" s="1"/>
      <c r="AT291" s="1"/>
      <c r="AV291" s="1"/>
      <c r="BC291" s="1"/>
      <c r="BD291" s="1"/>
      <c r="BE291" s="1"/>
      <c r="BF291" s="1"/>
      <c r="BG291" s="1"/>
      <c r="BH291" s="1"/>
      <c r="BI291" s="1"/>
      <c r="BJ291" s="1"/>
      <c r="BK291" s="1"/>
      <c r="BL291" s="1"/>
      <c r="BM291" s="1"/>
      <c r="BN291" s="1"/>
      <c r="BO291" s="1"/>
      <c r="BP291" s="1"/>
      <c r="BQ291" s="1"/>
      <c r="BR291" s="1"/>
      <c r="BS291" s="1"/>
      <c r="BT291" s="1"/>
      <c r="BU291" s="1"/>
      <c r="BV291" s="1"/>
      <c r="BW291" s="1"/>
      <c r="BX291" s="1"/>
      <c r="BY291" s="1"/>
      <c r="BZ291" s="1"/>
      <c r="CA291" s="1"/>
      <c r="CM291"/>
      <c r="CN291"/>
      <c r="CO291"/>
      <c r="CP291"/>
      <c r="CQ291"/>
      <c r="CR291"/>
    </row>
    <row r="292" spans="33:96">
      <c r="AG292" s="1"/>
      <c r="AH292" s="1"/>
      <c r="AI292" s="1"/>
      <c r="AJ292" s="1"/>
      <c r="AR292" s="1"/>
      <c r="AS292" s="1"/>
      <c r="AT292" s="1"/>
      <c r="AV292" s="1"/>
      <c r="BC292" s="1"/>
      <c r="BD292" s="1"/>
      <c r="BE292" s="1"/>
      <c r="BF292" s="1"/>
      <c r="BG292" s="1"/>
      <c r="BH292" s="1"/>
      <c r="BI292" s="1"/>
      <c r="BJ292" s="1"/>
      <c r="BK292" s="1"/>
      <c r="BL292" s="1"/>
      <c r="BM292" s="1"/>
      <c r="BN292" s="1"/>
      <c r="BO292" s="1"/>
      <c r="BP292" s="1"/>
      <c r="BQ292" s="1"/>
      <c r="BR292" s="1"/>
      <c r="BS292" s="1"/>
      <c r="BT292" s="1"/>
      <c r="BU292" s="1"/>
      <c r="BV292" s="1"/>
      <c r="BW292" s="1"/>
      <c r="BX292" s="1"/>
      <c r="BY292" s="1"/>
      <c r="BZ292" s="1"/>
      <c r="CA292" s="1"/>
      <c r="CM292"/>
      <c r="CN292"/>
      <c r="CO292"/>
      <c r="CP292"/>
      <c r="CQ292"/>
      <c r="CR292"/>
    </row>
    <row r="293" spans="33:96">
      <c r="AG293" s="1"/>
      <c r="AH293" s="1"/>
      <c r="AI293" s="1"/>
      <c r="AJ293" s="1"/>
      <c r="AR293" s="1"/>
      <c r="AS293" s="1"/>
      <c r="AT293" s="1"/>
      <c r="AV293" s="1"/>
      <c r="BC293" s="1"/>
      <c r="BD293" s="1"/>
      <c r="BE293" s="1"/>
      <c r="BF293" s="1"/>
      <c r="BG293" s="1"/>
      <c r="BH293" s="1"/>
      <c r="BI293" s="1"/>
      <c r="BJ293" s="1"/>
      <c r="BK293" s="1"/>
      <c r="BL293" s="1"/>
      <c r="BM293" s="1"/>
      <c r="BN293" s="1"/>
      <c r="BO293" s="1"/>
      <c r="BP293" s="1"/>
      <c r="BQ293" s="1"/>
      <c r="BR293" s="1"/>
      <c r="BS293" s="1"/>
      <c r="BT293" s="1"/>
      <c r="BU293" s="1"/>
      <c r="BV293" s="1"/>
      <c r="BW293" s="1"/>
      <c r="BX293" s="1"/>
      <c r="BY293" s="1"/>
      <c r="BZ293" s="1"/>
      <c r="CA293" s="1"/>
      <c r="CM293"/>
      <c r="CN293"/>
      <c r="CO293"/>
      <c r="CP293"/>
      <c r="CQ293"/>
      <c r="CR293"/>
    </row>
    <row r="294" spans="33:96">
      <c r="AG294" s="1"/>
      <c r="AH294" s="1"/>
      <c r="AI294" s="1"/>
      <c r="AJ294" s="1"/>
      <c r="AR294" s="1"/>
      <c r="AS294" s="1"/>
      <c r="AT294" s="1"/>
      <c r="AV294" s="1"/>
      <c r="BC294" s="1"/>
      <c r="BD294" s="1"/>
      <c r="BE294" s="1"/>
      <c r="BF294" s="1"/>
      <c r="BG294" s="1"/>
      <c r="BH294" s="1"/>
      <c r="BI294" s="1"/>
      <c r="BJ294" s="1"/>
      <c r="BK294" s="1"/>
      <c r="BL294" s="1"/>
      <c r="BM294" s="1"/>
      <c r="BN294" s="1"/>
      <c r="BO294" s="1"/>
      <c r="BP294" s="1"/>
      <c r="BQ294" s="1"/>
      <c r="BR294" s="1"/>
      <c r="BS294" s="1"/>
      <c r="BT294" s="1"/>
      <c r="BU294" s="1"/>
      <c r="BV294" s="1"/>
      <c r="BW294" s="1"/>
      <c r="BX294" s="1"/>
      <c r="BY294" s="1"/>
      <c r="BZ294" s="1"/>
      <c r="CA294" s="1"/>
      <c r="CM294"/>
      <c r="CN294"/>
      <c r="CO294"/>
      <c r="CP294"/>
      <c r="CQ294"/>
      <c r="CR294"/>
    </row>
    <row r="295" spans="33:96">
      <c r="AG295" s="1"/>
      <c r="AH295" s="1"/>
      <c r="AI295" s="1"/>
      <c r="AJ295" s="1"/>
      <c r="AR295" s="1"/>
      <c r="AS295" s="1"/>
      <c r="AT295" s="1"/>
      <c r="AV295" s="1"/>
      <c r="BC295" s="1"/>
      <c r="BD295" s="1"/>
      <c r="BE295" s="1"/>
      <c r="BF295" s="1"/>
      <c r="BG295" s="1"/>
      <c r="BH295" s="1"/>
      <c r="BI295" s="1"/>
      <c r="BJ295" s="1"/>
      <c r="BK295" s="1"/>
      <c r="BL295" s="1"/>
      <c r="BM295" s="1"/>
      <c r="BN295" s="1"/>
      <c r="BO295" s="1"/>
      <c r="BP295" s="1"/>
      <c r="BQ295" s="1"/>
      <c r="BR295" s="1"/>
      <c r="BS295" s="1"/>
      <c r="BT295" s="1"/>
      <c r="BU295" s="1"/>
      <c r="BV295" s="1"/>
      <c r="BW295" s="1"/>
      <c r="BX295" s="1"/>
      <c r="BY295" s="1"/>
      <c r="BZ295" s="1"/>
      <c r="CA295" s="1"/>
      <c r="CM295"/>
      <c r="CN295"/>
      <c r="CO295"/>
      <c r="CP295"/>
      <c r="CQ295"/>
      <c r="CR295"/>
    </row>
    <row r="296" spans="33:96">
      <c r="AG296" s="1"/>
      <c r="AH296" s="1"/>
      <c r="AI296" s="1"/>
      <c r="AJ296" s="1"/>
      <c r="AR296" s="1"/>
      <c r="AS296" s="1"/>
      <c r="AT296" s="1"/>
      <c r="AV296" s="1"/>
      <c r="BC296" s="1"/>
      <c r="BD296" s="1"/>
      <c r="BE296" s="1"/>
      <c r="BF296" s="1"/>
      <c r="BG296" s="1"/>
      <c r="BH296" s="1"/>
      <c r="BI296" s="1"/>
      <c r="BJ296" s="1"/>
      <c r="BK296" s="1"/>
      <c r="BL296" s="1"/>
      <c r="BM296" s="1"/>
      <c r="BN296" s="1"/>
      <c r="BO296" s="1"/>
      <c r="BP296" s="1"/>
      <c r="BQ296" s="1"/>
      <c r="BR296" s="1"/>
      <c r="BS296" s="1"/>
      <c r="BT296" s="1"/>
      <c r="BU296" s="1"/>
      <c r="BV296" s="1"/>
      <c r="BW296" s="1"/>
      <c r="BX296" s="1"/>
      <c r="BY296" s="1"/>
      <c r="BZ296" s="1"/>
      <c r="CA296" s="1"/>
      <c r="CM296"/>
      <c r="CN296"/>
      <c r="CO296"/>
      <c r="CP296"/>
      <c r="CQ296"/>
      <c r="CR296"/>
    </row>
    <row r="297" spans="33:96">
      <c r="AG297" s="1"/>
      <c r="AH297" s="1"/>
      <c r="AI297" s="1"/>
      <c r="AJ297" s="1"/>
      <c r="AR297" s="1"/>
      <c r="AS297" s="1"/>
      <c r="AT297" s="1"/>
      <c r="AV297" s="1"/>
      <c r="BC297" s="1"/>
      <c r="BD297" s="1"/>
      <c r="BE297" s="1"/>
      <c r="BF297" s="1"/>
      <c r="BG297" s="1"/>
      <c r="BH297" s="1"/>
      <c r="BI297" s="1"/>
      <c r="BJ297" s="1"/>
      <c r="BK297" s="1"/>
      <c r="BL297" s="1"/>
      <c r="BM297" s="1"/>
      <c r="BN297" s="1"/>
      <c r="BO297" s="1"/>
      <c r="BP297" s="1"/>
      <c r="BQ297" s="1"/>
      <c r="BR297" s="1"/>
      <c r="BS297" s="1"/>
      <c r="BT297" s="1"/>
      <c r="BU297" s="1"/>
      <c r="BV297" s="1"/>
      <c r="BW297" s="1"/>
      <c r="BX297" s="1"/>
      <c r="BY297" s="1"/>
      <c r="BZ297" s="1"/>
      <c r="CA297" s="1"/>
      <c r="CM297"/>
      <c r="CN297"/>
      <c r="CO297"/>
      <c r="CP297"/>
      <c r="CQ297"/>
      <c r="CR297"/>
    </row>
    <row r="298" spans="33:96">
      <c r="AG298" s="1"/>
      <c r="AH298" s="1"/>
      <c r="AI298" s="1"/>
      <c r="AJ298" s="1"/>
      <c r="AR298" s="1"/>
      <c r="AS298" s="1"/>
      <c r="AT298" s="1"/>
      <c r="AV298" s="1"/>
      <c r="BC298" s="1"/>
      <c r="BD298" s="1"/>
      <c r="BE298" s="1"/>
      <c r="BF298" s="1"/>
      <c r="BG298" s="1"/>
      <c r="BH298" s="1"/>
      <c r="BI298" s="1"/>
      <c r="BJ298" s="1"/>
      <c r="BK298" s="1"/>
      <c r="BL298" s="1"/>
      <c r="BM298" s="1"/>
      <c r="BN298" s="1"/>
      <c r="BO298" s="1"/>
      <c r="BP298" s="1"/>
      <c r="BQ298" s="1"/>
      <c r="BR298" s="1"/>
      <c r="BS298" s="1"/>
      <c r="BT298" s="1"/>
      <c r="BU298" s="1"/>
      <c r="BV298" s="1"/>
      <c r="BW298" s="1"/>
      <c r="BX298" s="1"/>
      <c r="BY298" s="1"/>
      <c r="BZ298" s="1"/>
      <c r="CA298" s="1"/>
      <c r="CM298"/>
      <c r="CN298"/>
      <c r="CO298"/>
      <c r="CP298"/>
      <c r="CQ298"/>
      <c r="CR298"/>
    </row>
    <row r="299" spans="33:96">
      <c r="AG299" s="1"/>
      <c r="AH299" s="1"/>
      <c r="AI299" s="1"/>
      <c r="AJ299" s="1"/>
      <c r="AR299" s="1"/>
      <c r="AS299" s="1"/>
      <c r="AT299" s="1"/>
      <c r="AV299" s="1"/>
      <c r="BC299" s="1"/>
      <c r="BD299" s="1"/>
      <c r="BE299" s="1"/>
      <c r="BF299" s="1"/>
      <c r="BG299" s="1"/>
      <c r="BH299" s="1"/>
      <c r="BI299" s="1"/>
      <c r="BJ299" s="1"/>
      <c r="BK299" s="1"/>
      <c r="BL299" s="1"/>
      <c r="BM299" s="1"/>
      <c r="BN299" s="1"/>
      <c r="BO299" s="1"/>
      <c r="BP299" s="1"/>
      <c r="BQ299" s="1"/>
      <c r="BR299" s="1"/>
      <c r="BS299" s="1"/>
      <c r="BT299" s="1"/>
      <c r="BU299" s="1"/>
      <c r="BV299" s="1"/>
      <c r="BW299" s="1"/>
      <c r="BX299" s="1"/>
      <c r="BY299" s="1"/>
      <c r="BZ299" s="1"/>
      <c r="CA299" s="1"/>
      <c r="CM299"/>
      <c r="CN299"/>
      <c r="CO299"/>
      <c r="CP299"/>
      <c r="CQ299"/>
      <c r="CR299"/>
    </row>
    <row r="300" spans="33:96">
      <c r="AG300" s="1"/>
      <c r="AH300" s="1"/>
      <c r="AI300" s="1"/>
      <c r="AJ300" s="1"/>
      <c r="AR300" s="1"/>
      <c r="AS300" s="1"/>
      <c r="AT300" s="1"/>
      <c r="AV300" s="1"/>
      <c r="BC300" s="1"/>
      <c r="BD300" s="1"/>
      <c r="BE300" s="1"/>
      <c r="BF300" s="1"/>
      <c r="BG300" s="1"/>
      <c r="BH300" s="1"/>
      <c r="BI300" s="1"/>
      <c r="BJ300" s="1"/>
      <c r="BK300" s="1"/>
      <c r="BL300" s="1"/>
      <c r="BM300" s="1"/>
      <c r="BN300" s="1"/>
      <c r="BO300" s="1"/>
      <c r="BP300" s="1"/>
      <c r="BQ300" s="1"/>
      <c r="BR300" s="1"/>
      <c r="BS300" s="1"/>
      <c r="BT300" s="1"/>
      <c r="BU300" s="1"/>
      <c r="BV300" s="1"/>
      <c r="BW300" s="1"/>
      <c r="BX300" s="1"/>
      <c r="BY300" s="1"/>
      <c r="BZ300" s="1"/>
      <c r="CA300" s="1"/>
      <c r="CM300"/>
      <c r="CN300"/>
      <c r="CO300"/>
      <c r="CP300"/>
      <c r="CQ300"/>
      <c r="CR300"/>
    </row>
    <row r="301" spans="33:96">
      <c r="AG301" s="1"/>
      <c r="AH301" s="1"/>
      <c r="AI301" s="1"/>
      <c r="AJ301" s="1"/>
      <c r="AR301" s="1"/>
      <c r="AS301" s="1"/>
      <c r="AT301" s="1"/>
      <c r="AV301" s="1"/>
      <c r="BC301" s="1"/>
      <c r="BD301" s="1"/>
      <c r="BE301" s="1"/>
      <c r="BF301" s="1"/>
      <c r="BG301" s="1"/>
      <c r="BH301" s="1"/>
      <c r="BI301" s="1"/>
      <c r="BJ301" s="1"/>
      <c r="BK301" s="1"/>
      <c r="BL301" s="1"/>
      <c r="BM301" s="1"/>
      <c r="BN301" s="1"/>
      <c r="BO301" s="1"/>
      <c r="BP301" s="1"/>
      <c r="BQ301" s="1"/>
      <c r="BR301" s="1"/>
      <c r="BS301" s="1"/>
      <c r="BT301" s="1"/>
      <c r="BU301" s="1"/>
      <c r="BV301" s="1"/>
      <c r="BW301" s="1"/>
      <c r="BX301" s="1"/>
      <c r="BY301" s="1"/>
      <c r="BZ301" s="1"/>
      <c r="CA301" s="1"/>
      <c r="CM301"/>
      <c r="CN301"/>
      <c r="CO301"/>
      <c r="CP301"/>
      <c r="CQ301"/>
      <c r="CR301"/>
    </row>
    <row r="302" spans="33:96">
      <c r="AG302" s="1"/>
      <c r="AH302" s="1"/>
      <c r="AI302" s="1"/>
      <c r="AJ302" s="1"/>
      <c r="AR302" s="1"/>
      <c r="AS302" s="1"/>
      <c r="AT302" s="1"/>
      <c r="AV302" s="1"/>
      <c r="BC302" s="1"/>
      <c r="BD302" s="1"/>
      <c r="BE302" s="1"/>
      <c r="BF302" s="1"/>
      <c r="BG302" s="1"/>
      <c r="BH302" s="1"/>
      <c r="BI302" s="1"/>
      <c r="BJ302" s="1"/>
      <c r="BK302" s="1"/>
      <c r="BL302" s="1"/>
      <c r="BM302" s="1"/>
      <c r="BN302" s="1"/>
      <c r="BO302" s="1"/>
      <c r="BP302" s="1"/>
      <c r="BQ302" s="1"/>
      <c r="BR302" s="1"/>
      <c r="BS302" s="1"/>
      <c r="BT302" s="1"/>
      <c r="BU302" s="1"/>
      <c r="BV302" s="1"/>
      <c r="BW302" s="1"/>
      <c r="BX302" s="1"/>
      <c r="BY302" s="1"/>
      <c r="BZ302" s="1"/>
      <c r="CA302" s="1"/>
      <c r="CM302"/>
      <c r="CN302"/>
      <c r="CO302"/>
      <c r="CP302"/>
      <c r="CQ302"/>
      <c r="CR302"/>
    </row>
    <row r="303" spans="33:96">
      <c r="AG303" s="1"/>
      <c r="AH303" s="1"/>
      <c r="AI303" s="1"/>
      <c r="AJ303" s="1"/>
      <c r="AR303" s="1"/>
      <c r="AS303" s="1"/>
      <c r="AT303" s="1"/>
      <c r="AV303" s="1"/>
      <c r="BC303" s="1"/>
      <c r="BD303" s="1"/>
      <c r="BE303" s="1"/>
      <c r="BF303" s="1"/>
      <c r="BG303" s="1"/>
      <c r="BH303" s="1"/>
      <c r="BI303" s="1"/>
      <c r="BJ303" s="1"/>
      <c r="BK303" s="1"/>
      <c r="BL303" s="1"/>
      <c r="BM303" s="1"/>
      <c r="BN303" s="1"/>
      <c r="BO303" s="1"/>
      <c r="BP303" s="1"/>
      <c r="BQ303" s="1"/>
      <c r="BR303" s="1"/>
      <c r="BS303" s="1"/>
      <c r="BT303" s="1"/>
      <c r="BU303" s="1"/>
      <c r="BV303" s="1"/>
      <c r="BW303" s="1"/>
      <c r="BX303" s="1"/>
      <c r="BY303" s="1"/>
      <c r="BZ303" s="1"/>
      <c r="CA303" s="1"/>
      <c r="CM303"/>
      <c r="CN303"/>
      <c r="CO303"/>
      <c r="CP303"/>
      <c r="CQ303"/>
      <c r="CR303"/>
    </row>
    <row r="304" spans="33:96">
      <c r="AG304" s="1"/>
      <c r="AH304" s="1"/>
      <c r="AI304" s="1"/>
      <c r="AJ304" s="1"/>
      <c r="AR304" s="1"/>
      <c r="AS304" s="1"/>
      <c r="AT304" s="1"/>
      <c r="AV304" s="1"/>
      <c r="BC304" s="1"/>
      <c r="BD304" s="1"/>
      <c r="BE304" s="1"/>
      <c r="BF304" s="1"/>
      <c r="BG304" s="1"/>
      <c r="BH304" s="1"/>
      <c r="BI304" s="1"/>
      <c r="BJ304" s="1"/>
      <c r="BK304" s="1"/>
      <c r="BL304" s="1"/>
      <c r="BM304" s="1"/>
      <c r="BN304" s="1"/>
      <c r="BO304" s="1"/>
      <c r="BP304" s="1"/>
      <c r="BQ304" s="1"/>
      <c r="BR304" s="1"/>
      <c r="BS304" s="1"/>
      <c r="BT304" s="1"/>
      <c r="BU304" s="1"/>
      <c r="BV304" s="1"/>
      <c r="BW304" s="1"/>
      <c r="BX304" s="1"/>
      <c r="BY304" s="1"/>
      <c r="BZ304" s="1"/>
      <c r="CA304" s="1"/>
      <c r="CM304"/>
      <c r="CN304"/>
      <c r="CO304"/>
      <c r="CP304"/>
      <c r="CQ304"/>
      <c r="CR304"/>
    </row>
    <row r="305" spans="33:96">
      <c r="AG305" s="1"/>
      <c r="AH305" s="1"/>
      <c r="AI305" s="1"/>
      <c r="AJ305" s="1"/>
      <c r="AR305" s="1"/>
      <c r="AS305" s="1"/>
      <c r="AT305" s="1"/>
      <c r="AV305" s="1"/>
      <c r="BC305" s="1"/>
      <c r="BD305" s="1"/>
      <c r="BE305" s="1"/>
      <c r="BF305" s="1"/>
      <c r="BG305" s="1"/>
      <c r="BH305" s="1"/>
      <c r="BI305" s="1"/>
      <c r="BJ305" s="1"/>
      <c r="BK305" s="1"/>
      <c r="BL305" s="1"/>
      <c r="BM305" s="1"/>
      <c r="BN305" s="1"/>
      <c r="BO305" s="1"/>
      <c r="BP305" s="1"/>
      <c r="BQ305" s="1"/>
      <c r="BR305" s="1"/>
      <c r="BS305" s="1"/>
      <c r="BT305" s="1"/>
      <c r="BU305" s="1"/>
      <c r="BV305" s="1"/>
      <c r="BW305" s="1"/>
      <c r="BX305" s="1"/>
      <c r="BY305" s="1"/>
      <c r="BZ305" s="1"/>
      <c r="CA305" s="1"/>
      <c r="CM305"/>
      <c r="CN305"/>
      <c r="CO305"/>
      <c r="CP305"/>
      <c r="CQ305"/>
      <c r="CR305"/>
    </row>
    <row r="306" spans="33:96">
      <c r="AG306" s="1"/>
      <c r="AH306" s="1"/>
      <c r="AI306" s="1"/>
      <c r="AJ306" s="1"/>
      <c r="AR306" s="1"/>
      <c r="AS306" s="1"/>
      <c r="AT306" s="1"/>
      <c r="AV306" s="1"/>
      <c r="BC306" s="1"/>
      <c r="BD306" s="1"/>
      <c r="BE306" s="1"/>
      <c r="BF306" s="1"/>
      <c r="BG306" s="1"/>
      <c r="BH306" s="1"/>
      <c r="BI306" s="1"/>
      <c r="BJ306" s="1"/>
      <c r="BK306" s="1"/>
      <c r="BL306" s="1"/>
      <c r="BM306" s="1"/>
      <c r="BN306" s="1"/>
      <c r="BO306" s="1"/>
      <c r="BP306" s="1"/>
      <c r="BQ306" s="1"/>
      <c r="BR306" s="1"/>
      <c r="BS306" s="1"/>
      <c r="BT306" s="1"/>
      <c r="BU306" s="1"/>
      <c r="BV306" s="1"/>
      <c r="BW306" s="1"/>
      <c r="BX306" s="1"/>
      <c r="BY306" s="1"/>
      <c r="BZ306" s="1"/>
      <c r="CA306" s="1"/>
      <c r="CM306"/>
      <c r="CN306"/>
      <c r="CO306"/>
      <c r="CP306"/>
      <c r="CQ306"/>
      <c r="CR306"/>
    </row>
    <row r="307" spans="33:96">
      <c r="AG307" s="1"/>
      <c r="AH307" s="1"/>
      <c r="AI307" s="1"/>
      <c r="AJ307" s="1"/>
      <c r="AR307" s="1"/>
      <c r="AS307" s="1"/>
      <c r="AT307" s="1"/>
      <c r="AV307" s="1"/>
      <c r="BC307" s="1"/>
      <c r="BD307" s="1"/>
      <c r="BE307" s="1"/>
      <c r="BF307" s="1"/>
      <c r="BG307" s="1"/>
      <c r="BH307" s="1"/>
      <c r="BI307" s="1"/>
      <c r="BJ307" s="1"/>
      <c r="BK307" s="1"/>
      <c r="BL307" s="1"/>
      <c r="BM307" s="1"/>
      <c r="BN307" s="1"/>
      <c r="BO307" s="1"/>
      <c r="BP307" s="1"/>
      <c r="BQ307" s="1"/>
      <c r="BR307" s="1"/>
      <c r="BS307" s="1"/>
      <c r="BT307" s="1"/>
      <c r="BU307" s="1"/>
      <c r="BV307" s="1"/>
      <c r="BW307" s="1"/>
      <c r="BX307" s="1"/>
      <c r="BY307" s="1"/>
      <c r="BZ307" s="1"/>
      <c r="CA307" s="1"/>
      <c r="CM307"/>
      <c r="CN307"/>
      <c r="CO307"/>
      <c r="CP307"/>
      <c r="CQ307"/>
      <c r="CR307"/>
    </row>
    <row r="308" spans="33:96">
      <c r="AG308" s="1"/>
      <c r="AH308" s="1"/>
      <c r="AI308" s="1"/>
      <c r="AJ308" s="1"/>
      <c r="AR308" s="1"/>
      <c r="AS308" s="1"/>
      <c r="AT308" s="1"/>
      <c r="AV308" s="1"/>
      <c r="BC308" s="1"/>
      <c r="BD308" s="1"/>
      <c r="BE308" s="1"/>
      <c r="BF308" s="1"/>
      <c r="BG308" s="1"/>
      <c r="BH308" s="1"/>
      <c r="BI308" s="1"/>
      <c r="BJ308" s="1"/>
      <c r="BK308" s="1"/>
      <c r="BL308" s="1"/>
      <c r="BM308" s="1"/>
      <c r="BN308" s="1"/>
      <c r="BO308" s="1"/>
      <c r="BP308" s="1"/>
      <c r="BQ308" s="1"/>
      <c r="BR308" s="1"/>
      <c r="BS308" s="1"/>
      <c r="BT308" s="1"/>
      <c r="BU308" s="1"/>
      <c r="BV308" s="1"/>
      <c r="BW308" s="1"/>
      <c r="BX308" s="1"/>
      <c r="BY308" s="1"/>
      <c r="BZ308" s="1"/>
      <c r="CA308" s="1"/>
      <c r="CM308"/>
      <c r="CN308"/>
      <c r="CO308"/>
      <c r="CP308"/>
      <c r="CQ308"/>
      <c r="CR308"/>
    </row>
    <row r="309" spans="33:96">
      <c r="AG309" s="1"/>
      <c r="AH309" s="1"/>
      <c r="AI309" s="1"/>
      <c r="AJ309" s="1"/>
      <c r="AR309" s="1"/>
      <c r="AS309" s="1"/>
      <c r="AT309" s="1"/>
      <c r="AV309" s="1"/>
      <c r="BC309" s="1"/>
      <c r="BD309" s="1"/>
      <c r="BE309" s="1"/>
      <c r="BF309" s="1"/>
      <c r="BG309" s="1"/>
      <c r="BH309" s="1"/>
      <c r="BI309" s="1"/>
      <c r="BJ309" s="1"/>
      <c r="BK309" s="1"/>
      <c r="BL309" s="1"/>
      <c r="BM309" s="1"/>
      <c r="BN309" s="1"/>
      <c r="BO309" s="1"/>
      <c r="BP309" s="1"/>
      <c r="BQ309" s="1"/>
      <c r="BR309" s="1"/>
      <c r="BS309" s="1"/>
      <c r="BT309" s="1"/>
      <c r="BU309" s="1"/>
      <c r="BV309" s="1"/>
      <c r="BW309" s="1"/>
      <c r="BX309" s="1"/>
      <c r="BY309" s="1"/>
      <c r="BZ309" s="1"/>
      <c r="CA309" s="1"/>
      <c r="CM309"/>
      <c r="CN309"/>
      <c r="CO309"/>
      <c r="CP309"/>
      <c r="CQ309"/>
      <c r="CR309"/>
    </row>
    <row r="310" spans="33:96">
      <c r="AG310" s="1"/>
      <c r="AH310" s="1"/>
      <c r="AI310" s="1"/>
      <c r="AJ310" s="1"/>
      <c r="AR310" s="1"/>
      <c r="AS310" s="1"/>
      <c r="AT310" s="1"/>
      <c r="AV310" s="1"/>
      <c r="BC310" s="1"/>
      <c r="BD310" s="1"/>
      <c r="BE310" s="1"/>
      <c r="BF310" s="1"/>
      <c r="BG310" s="1"/>
      <c r="BH310" s="1"/>
      <c r="BI310" s="1"/>
      <c r="BJ310" s="1"/>
      <c r="BK310" s="1"/>
      <c r="BL310" s="1"/>
      <c r="BM310" s="1"/>
      <c r="BN310" s="1"/>
      <c r="BO310" s="1"/>
      <c r="BP310" s="1"/>
      <c r="BQ310" s="1"/>
      <c r="BR310" s="1"/>
      <c r="BS310" s="1"/>
      <c r="BT310" s="1"/>
      <c r="BU310" s="1"/>
      <c r="BV310" s="1"/>
      <c r="BW310" s="1"/>
      <c r="BX310" s="1"/>
      <c r="BY310" s="1"/>
      <c r="BZ310" s="1"/>
      <c r="CA310" s="1"/>
      <c r="CM310"/>
      <c r="CN310"/>
      <c r="CO310"/>
      <c r="CP310"/>
      <c r="CQ310"/>
      <c r="CR310"/>
    </row>
    <row r="311" spans="33:96">
      <c r="AG311" s="1"/>
      <c r="AH311" s="1"/>
      <c r="AI311" s="1"/>
      <c r="AJ311" s="1"/>
      <c r="AR311" s="1"/>
      <c r="AS311" s="1"/>
      <c r="AT311" s="1"/>
      <c r="AV311" s="1"/>
      <c r="BC311" s="1"/>
      <c r="BD311" s="1"/>
      <c r="BE311" s="1"/>
      <c r="BF311" s="1"/>
      <c r="BG311" s="1"/>
      <c r="BH311" s="1"/>
      <c r="BI311" s="1"/>
      <c r="BJ311" s="1"/>
      <c r="BK311" s="1"/>
      <c r="BL311" s="1"/>
      <c r="BM311" s="1"/>
      <c r="BN311" s="1"/>
      <c r="BO311" s="1"/>
      <c r="BP311" s="1"/>
      <c r="BQ311" s="1"/>
      <c r="BR311" s="1"/>
      <c r="BS311" s="1"/>
      <c r="BT311" s="1"/>
      <c r="BU311" s="1"/>
      <c r="BV311" s="1"/>
      <c r="BW311" s="1"/>
      <c r="BX311" s="1"/>
      <c r="BY311" s="1"/>
      <c r="BZ311" s="1"/>
      <c r="CA311" s="1"/>
      <c r="CM311"/>
      <c r="CN311"/>
      <c r="CO311"/>
      <c r="CP311"/>
      <c r="CQ311"/>
      <c r="CR311"/>
    </row>
    <row r="312" spans="33:96">
      <c r="AG312" s="1"/>
      <c r="AH312" s="1"/>
      <c r="AI312" s="1"/>
      <c r="AJ312" s="1"/>
      <c r="AR312" s="1"/>
      <c r="AS312" s="1"/>
      <c r="AT312" s="1"/>
      <c r="AV312" s="1"/>
      <c r="BC312" s="1"/>
      <c r="BD312" s="1"/>
      <c r="BE312" s="1"/>
      <c r="BF312" s="1"/>
      <c r="BG312" s="1"/>
      <c r="BH312" s="1"/>
      <c r="BI312" s="1"/>
      <c r="BJ312" s="1"/>
      <c r="BK312" s="1"/>
      <c r="BL312" s="1"/>
      <c r="BM312" s="1"/>
      <c r="BN312" s="1"/>
      <c r="BO312" s="1"/>
      <c r="BP312" s="1"/>
      <c r="BQ312" s="1"/>
      <c r="BR312" s="1"/>
      <c r="BS312" s="1"/>
      <c r="BT312" s="1"/>
      <c r="BU312" s="1"/>
      <c r="BV312" s="1"/>
      <c r="BW312" s="1"/>
      <c r="BX312" s="1"/>
      <c r="BY312" s="1"/>
      <c r="BZ312" s="1"/>
      <c r="CA312" s="1"/>
      <c r="CM312"/>
      <c r="CN312"/>
      <c r="CO312"/>
      <c r="CP312"/>
      <c r="CQ312"/>
      <c r="CR312"/>
    </row>
    <row r="313" spans="33:96">
      <c r="AG313" s="1"/>
      <c r="AH313" s="1"/>
      <c r="AI313" s="1"/>
      <c r="AJ313" s="1"/>
      <c r="AR313" s="1"/>
      <c r="AS313" s="1"/>
      <c r="AT313" s="1"/>
      <c r="AV313" s="1"/>
      <c r="BC313" s="1"/>
      <c r="BD313" s="1"/>
      <c r="BE313" s="1"/>
      <c r="BF313" s="1"/>
      <c r="BG313" s="1"/>
      <c r="BH313" s="1"/>
      <c r="BI313" s="1"/>
      <c r="BJ313" s="1"/>
      <c r="BK313" s="1"/>
      <c r="BL313" s="1"/>
      <c r="BM313" s="1"/>
      <c r="BN313" s="1"/>
      <c r="BO313" s="1"/>
      <c r="BP313" s="1"/>
      <c r="BQ313" s="1"/>
      <c r="BR313" s="1"/>
      <c r="BS313" s="1"/>
      <c r="BT313" s="1"/>
      <c r="BU313" s="1"/>
      <c r="BV313" s="1"/>
      <c r="BW313" s="1"/>
      <c r="BX313" s="1"/>
      <c r="BY313" s="1"/>
      <c r="BZ313" s="1"/>
      <c r="CA313" s="1"/>
      <c r="CM313"/>
      <c r="CN313"/>
      <c r="CO313"/>
      <c r="CP313"/>
      <c r="CQ313"/>
      <c r="CR313"/>
    </row>
    <row r="314" spans="33:96">
      <c r="AG314" s="1"/>
      <c r="AH314" s="1"/>
      <c r="AI314" s="1"/>
      <c r="AJ314" s="1"/>
      <c r="AR314" s="1"/>
      <c r="AS314" s="1"/>
      <c r="AT314" s="1"/>
      <c r="AV314" s="1"/>
      <c r="BC314" s="1"/>
      <c r="BD314" s="1"/>
      <c r="BE314" s="1"/>
      <c r="BF314" s="1"/>
      <c r="BG314" s="1"/>
      <c r="BH314" s="1"/>
      <c r="BI314" s="1"/>
      <c r="BJ314" s="1"/>
      <c r="BK314" s="1"/>
      <c r="BL314" s="1"/>
      <c r="BM314" s="1"/>
      <c r="BN314" s="1"/>
      <c r="BO314" s="1"/>
      <c r="BP314" s="1"/>
      <c r="BQ314" s="1"/>
      <c r="BR314" s="1"/>
      <c r="BS314" s="1"/>
      <c r="BT314" s="1"/>
      <c r="BU314" s="1"/>
      <c r="BV314" s="1"/>
      <c r="BW314" s="1"/>
      <c r="BX314" s="1"/>
      <c r="BY314" s="1"/>
      <c r="BZ314" s="1"/>
      <c r="CA314" s="1"/>
      <c r="CM314"/>
      <c r="CN314"/>
      <c r="CO314"/>
      <c r="CP314"/>
      <c r="CQ314"/>
      <c r="CR314"/>
    </row>
    <row r="315" spans="33:96">
      <c r="AG315" s="1"/>
      <c r="AH315" s="1"/>
      <c r="AI315" s="1"/>
      <c r="AJ315" s="1"/>
      <c r="AR315" s="1"/>
      <c r="AS315" s="1"/>
      <c r="AT315" s="1"/>
      <c r="AV315" s="1"/>
      <c r="BC315" s="1"/>
      <c r="BD315" s="1"/>
      <c r="BE315" s="1"/>
      <c r="BF315" s="1"/>
      <c r="BG315" s="1"/>
      <c r="BH315" s="1"/>
      <c r="BI315" s="1"/>
      <c r="BJ315" s="1"/>
      <c r="BK315" s="1"/>
      <c r="BL315" s="1"/>
      <c r="BM315" s="1"/>
      <c r="BN315" s="1"/>
      <c r="BO315" s="1"/>
      <c r="BP315" s="1"/>
      <c r="BQ315" s="1"/>
      <c r="BR315" s="1"/>
      <c r="BS315" s="1"/>
      <c r="BT315" s="1"/>
      <c r="BU315" s="1"/>
      <c r="BV315" s="1"/>
      <c r="BW315" s="1"/>
      <c r="BX315" s="1"/>
      <c r="BY315" s="1"/>
      <c r="BZ315" s="1"/>
      <c r="CA315" s="1"/>
      <c r="CM315"/>
      <c r="CN315"/>
      <c r="CO315"/>
      <c r="CP315"/>
      <c r="CQ315"/>
      <c r="CR315"/>
    </row>
    <row r="316" spans="33:96">
      <c r="AG316" s="1"/>
      <c r="AH316" s="1"/>
      <c r="AI316" s="1"/>
      <c r="AJ316" s="1"/>
      <c r="AR316" s="1"/>
      <c r="AS316" s="1"/>
      <c r="AT316" s="1"/>
      <c r="AV316" s="1"/>
      <c r="BC316" s="1"/>
      <c r="BD316" s="1"/>
      <c r="BE316" s="1"/>
      <c r="BF316" s="1"/>
      <c r="BG316" s="1"/>
      <c r="BH316" s="1"/>
      <c r="BI316" s="1"/>
      <c r="BJ316" s="1"/>
      <c r="BK316" s="1"/>
      <c r="BL316" s="1"/>
      <c r="BM316" s="1"/>
      <c r="BN316" s="1"/>
      <c r="BO316" s="1"/>
      <c r="BP316" s="1"/>
      <c r="BQ316" s="1"/>
      <c r="BR316" s="1"/>
      <c r="BS316" s="1"/>
      <c r="BT316" s="1"/>
      <c r="BU316" s="1"/>
      <c r="BV316" s="1"/>
      <c r="BW316" s="1"/>
      <c r="BX316" s="1"/>
      <c r="BY316" s="1"/>
      <c r="BZ316" s="1"/>
      <c r="CA316" s="1"/>
      <c r="CM316"/>
      <c r="CN316"/>
      <c r="CO316"/>
      <c r="CP316"/>
      <c r="CQ316"/>
      <c r="CR316"/>
    </row>
    <row r="317" spans="33:96">
      <c r="AG317" s="1"/>
      <c r="AH317" s="1"/>
      <c r="AI317" s="1"/>
      <c r="AJ317" s="1"/>
      <c r="AR317" s="1"/>
      <c r="AS317" s="1"/>
      <c r="AT317" s="1"/>
      <c r="AV317" s="1"/>
      <c r="BC317" s="1"/>
      <c r="BD317" s="1"/>
      <c r="BE317" s="1"/>
      <c r="BF317" s="1"/>
      <c r="BG317" s="1"/>
      <c r="BH317" s="1"/>
      <c r="BI317" s="1"/>
      <c r="BJ317" s="1"/>
      <c r="BK317" s="1"/>
      <c r="BL317" s="1"/>
      <c r="BM317" s="1"/>
      <c r="BN317" s="1"/>
      <c r="BO317" s="1"/>
      <c r="BP317" s="1"/>
      <c r="BQ317" s="1"/>
      <c r="BR317" s="1"/>
      <c r="BS317" s="1"/>
      <c r="BT317" s="1"/>
      <c r="BU317" s="1"/>
      <c r="BV317" s="1"/>
      <c r="BW317" s="1"/>
      <c r="BX317" s="1"/>
      <c r="BY317" s="1"/>
      <c r="BZ317" s="1"/>
      <c r="CA317" s="1"/>
      <c r="CM317"/>
      <c r="CN317"/>
      <c r="CO317"/>
      <c r="CP317"/>
      <c r="CQ317"/>
      <c r="CR317"/>
    </row>
    <row r="318" spans="33:96">
      <c r="AG318" s="1"/>
      <c r="AH318" s="1"/>
      <c r="AI318" s="1"/>
      <c r="AJ318" s="1"/>
      <c r="AR318" s="1"/>
      <c r="AS318" s="1"/>
      <c r="AT318" s="1"/>
      <c r="AV318" s="1"/>
      <c r="BC318" s="1"/>
      <c r="BD318" s="1"/>
      <c r="BE318" s="1"/>
      <c r="BF318" s="1"/>
      <c r="BG318" s="1"/>
      <c r="BH318" s="1"/>
      <c r="BI318" s="1"/>
      <c r="BJ318" s="1"/>
      <c r="BK318" s="1"/>
      <c r="BL318" s="1"/>
      <c r="BM318" s="1"/>
      <c r="BN318" s="1"/>
      <c r="BO318" s="1"/>
      <c r="BP318" s="1"/>
      <c r="BQ318" s="1"/>
      <c r="BR318" s="1"/>
      <c r="BS318" s="1"/>
      <c r="BT318" s="1"/>
      <c r="BU318" s="1"/>
      <c r="BV318" s="1"/>
      <c r="BW318" s="1"/>
      <c r="BX318" s="1"/>
      <c r="BY318" s="1"/>
      <c r="BZ318" s="1"/>
      <c r="CA318" s="1"/>
      <c r="CM318"/>
      <c r="CN318"/>
      <c r="CO318"/>
      <c r="CP318"/>
      <c r="CQ318"/>
      <c r="CR318"/>
    </row>
    <row r="319" spans="33:96">
      <c r="AG319" s="1"/>
      <c r="AH319" s="1"/>
      <c r="AI319" s="1"/>
      <c r="AJ319" s="1"/>
      <c r="AR319" s="1"/>
      <c r="AS319" s="1"/>
      <c r="AT319" s="1"/>
      <c r="AV319" s="1"/>
      <c r="BC319" s="1"/>
      <c r="BD319" s="1"/>
      <c r="BE319" s="1"/>
      <c r="BF319" s="1"/>
      <c r="BG319" s="1"/>
      <c r="BH319" s="1"/>
      <c r="BI319" s="1"/>
      <c r="BJ319" s="1"/>
      <c r="BK319" s="1"/>
      <c r="BL319" s="1"/>
      <c r="BM319" s="1"/>
      <c r="BN319" s="1"/>
      <c r="BO319" s="1"/>
      <c r="BP319" s="1"/>
      <c r="BQ319" s="1"/>
      <c r="BR319" s="1"/>
      <c r="BS319" s="1"/>
      <c r="BT319" s="1"/>
      <c r="BU319" s="1"/>
      <c r="BV319" s="1"/>
      <c r="BW319" s="1"/>
      <c r="BX319" s="1"/>
      <c r="BY319" s="1"/>
      <c r="BZ319" s="1"/>
      <c r="CA319" s="1"/>
      <c r="CM319"/>
      <c r="CN319"/>
      <c r="CO319"/>
      <c r="CP319"/>
      <c r="CQ319"/>
      <c r="CR319"/>
    </row>
    <row r="320" spans="33:96">
      <c r="AG320" s="1"/>
      <c r="AH320" s="1"/>
      <c r="AI320" s="1"/>
      <c r="AJ320" s="1"/>
      <c r="AR320" s="1"/>
      <c r="AS320" s="1"/>
      <c r="AT320" s="1"/>
      <c r="AV320" s="1"/>
      <c r="BC320" s="1"/>
      <c r="BD320" s="1"/>
      <c r="BE320" s="1"/>
      <c r="BF320" s="1"/>
      <c r="BG320" s="1"/>
      <c r="BH320" s="1"/>
      <c r="BI320" s="1"/>
      <c r="BJ320" s="1"/>
      <c r="BK320" s="1"/>
      <c r="BL320" s="1"/>
      <c r="BM320" s="1"/>
      <c r="BN320" s="1"/>
      <c r="BO320" s="1"/>
      <c r="BP320" s="1"/>
      <c r="BQ320" s="1"/>
      <c r="BR320" s="1"/>
      <c r="BS320" s="1"/>
      <c r="BT320" s="1"/>
      <c r="BU320" s="1"/>
      <c r="BV320" s="1"/>
      <c r="BW320" s="1"/>
      <c r="BX320" s="1"/>
      <c r="BY320" s="1"/>
      <c r="BZ320" s="1"/>
      <c r="CA320" s="1"/>
      <c r="CM320"/>
      <c r="CN320"/>
      <c r="CO320"/>
      <c r="CP320"/>
      <c r="CQ320"/>
      <c r="CR320"/>
    </row>
    <row r="321" spans="33:96">
      <c r="AG321" s="1"/>
      <c r="AH321" s="1"/>
      <c r="AI321" s="1"/>
      <c r="AJ321" s="1"/>
      <c r="AR321" s="1"/>
      <c r="AS321" s="1"/>
      <c r="AT321" s="1"/>
      <c r="AV321" s="1"/>
      <c r="BC321" s="1"/>
      <c r="BD321" s="1"/>
      <c r="BE321" s="1"/>
      <c r="BF321" s="1"/>
      <c r="BG321" s="1"/>
      <c r="BH321" s="1"/>
      <c r="BI321" s="1"/>
      <c r="BJ321" s="1"/>
      <c r="BK321" s="1"/>
      <c r="BL321" s="1"/>
      <c r="BM321" s="1"/>
      <c r="BN321" s="1"/>
      <c r="BO321" s="1"/>
      <c r="BP321" s="1"/>
      <c r="BQ321" s="1"/>
      <c r="BR321" s="1"/>
      <c r="BS321" s="1"/>
      <c r="BT321" s="1"/>
      <c r="BU321" s="1"/>
      <c r="BV321" s="1"/>
      <c r="BW321" s="1"/>
      <c r="BX321" s="1"/>
      <c r="BY321" s="1"/>
      <c r="BZ321" s="1"/>
      <c r="CA321" s="1"/>
      <c r="CM321"/>
      <c r="CN321"/>
      <c r="CO321"/>
      <c r="CP321"/>
      <c r="CQ321"/>
      <c r="CR321"/>
    </row>
    <row r="322" spans="33:96">
      <c r="AG322" s="1"/>
      <c r="AH322" s="1"/>
      <c r="AI322" s="1"/>
      <c r="AJ322" s="1"/>
      <c r="AR322" s="1"/>
      <c r="AS322" s="1"/>
      <c r="AT322" s="1"/>
      <c r="AV322" s="1"/>
      <c r="BC322" s="1"/>
      <c r="BD322" s="1"/>
      <c r="BE322" s="1"/>
      <c r="BF322" s="1"/>
      <c r="BG322" s="1"/>
      <c r="BH322" s="1"/>
      <c r="BI322" s="1"/>
      <c r="BJ322" s="1"/>
      <c r="BK322" s="1"/>
      <c r="BL322" s="1"/>
      <c r="BM322" s="1"/>
      <c r="BN322" s="1"/>
      <c r="BO322" s="1"/>
      <c r="BP322" s="1"/>
      <c r="BQ322" s="1"/>
      <c r="BR322" s="1"/>
      <c r="BS322" s="1"/>
      <c r="BT322" s="1"/>
      <c r="BU322" s="1"/>
      <c r="BV322" s="1"/>
      <c r="BW322" s="1"/>
      <c r="BX322" s="1"/>
      <c r="BY322" s="1"/>
      <c r="BZ322" s="1"/>
      <c r="CA322" s="1"/>
      <c r="CM322"/>
      <c r="CN322"/>
      <c r="CO322"/>
      <c r="CP322"/>
      <c r="CQ322"/>
      <c r="CR322"/>
    </row>
    <row r="323" spans="33:96">
      <c r="AG323" s="1"/>
      <c r="AH323" s="1"/>
      <c r="AI323" s="1"/>
      <c r="AJ323" s="1"/>
      <c r="AR323" s="1"/>
      <c r="AS323" s="1"/>
      <c r="AT323" s="1"/>
      <c r="AV323" s="1"/>
      <c r="BC323" s="1"/>
      <c r="BD323" s="1"/>
      <c r="BE323" s="1"/>
      <c r="BF323" s="1"/>
      <c r="BG323" s="1"/>
      <c r="BH323" s="1"/>
      <c r="BI323" s="1"/>
      <c r="BJ323" s="1"/>
      <c r="BK323" s="1"/>
      <c r="BL323" s="1"/>
      <c r="BM323" s="1"/>
      <c r="BN323" s="1"/>
      <c r="BO323" s="1"/>
      <c r="BP323" s="1"/>
      <c r="BQ323" s="1"/>
      <c r="BR323" s="1"/>
      <c r="BS323" s="1"/>
      <c r="BT323" s="1"/>
      <c r="BU323" s="1"/>
      <c r="BV323" s="1"/>
      <c r="BW323" s="1"/>
      <c r="BX323" s="1"/>
      <c r="BY323" s="1"/>
      <c r="BZ323" s="1"/>
      <c r="CA323" s="1"/>
      <c r="CM323"/>
      <c r="CN323"/>
      <c r="CO323"/>
      <c r="CP323"/>
      <c r="CQ323"/>
      <c r="CR323"/>
    </row>
    <row r="324" spans="33:96">
      <c r="AG324" s="1"/>
      <c r="AH324" s="1"/>
      <c r="AI324" s="1"/>
      <c r="AJ324" s="1"/>
      <c r="AR324" s="1"/>
      <c r="AS324" s="1"/>
      <c r="AT324" s="1"/>
      <c r="AV324" s="1"/>
      <c r="BC324" s="1"/>
      <c r="BD324" s="1"/>
      <c r="BE324" s="1"/>
      <c r="BF324" s="1"/>
      <c r="BG324" s="1"/>
      <c r="BH324" s="1"/>
      <c r="BI324" s="1"/>
      <c r="BJ324" s="1"/>
      <c r="BK324" s="1"/>
      <c r="BL324" s="1"/>
      <c r="BM324" s="1"/>
      <c r="BN324" s="1"/>
      <c r="BO324" s="1"/>
      <c r="BP324" s="1"/>
      <c r="BQ324" s="1"/>
      <c r="BR324" s="1"/>
      <c r="BS324" s="1"/>
      <c r="BT324" s="1"/>
      <c r="BU324" s="1"/>
      <c r="BV324" s="1"/>
      <c r="BW324" s="1"/>
      <c r="BX324" s="1"/>
      <c r="BY324" s="1"/>
      <c r="BZ324" s="1"/>
      <c r="CA324" s="1"/>
      <c r="CM324"/>
      <c r="CN324"/>
      <c r="CO324"/>
      <c r="CP324"/>
      <c r="CQ324"/>
      <c r="CR324"/>
    </row>
    <row r="325" spans="33:96">
      <c r="AG325" s="1"/>
      <c r="AH325" s="1"/>
      <c r="AI325" s="1"/>
      <c r="AJ325" s="1"/>
      <c r="AR325" s="1"/>
      <c r="AS325" s="1"/>
      <c r="AT325" s="1"/>
      <c r="AV325" s="1"/>
      <c r="BC325" s="1"/>
      <c r="BD325" s="1"/>
      <c r="BE325" s="1"/>
      <c r="BF325" s="1"/>
      <c r="BG325" s="1"/>
      <c r="BH325" s="1"/>
      <c r="BI325" s="1"/>
      <c r="BJ325" s="1"/>
      <c r="BK325" s="1"/>
      <c r="BL325" s="1"/>
      <c r="BM325" s="1"/>
      <c r="BN325" s="1"/>
      <c r="BO325" s="1"/>
      <c r="BP325" s="1"/>
      <c r="BQ325" s="1"/>
      <c r="BR325" s="1"/>
      <c r="BS325" s="1"/>
      <c r="BT325" s="1"/>
      <c r="BU325" s="1"/>
      <c r="BV325" s="1"/>
      <c r="BW325" s="1"/>
      <c r="BX325" s="1"/>
      <c r="BY325" s="1"/>
      <c r="BZ325" s="1"/>
      <c r="CA325" s="1"/>
      <c r="CM325"/>
      <c r="CN325"/>
      <c r="CO325"/>
      <c r="CP325"/>
      <c r="CQ325"/>
      <c r="CR325"/>
    </row>
    <row r="326" spans="33:96">
      <c r="AG326" s="1"/>
      <c r="AH326" s="1"/>
      <c r="AI326" s="1"/>
      <c r="AJ326" s="1"/>
      <c r="AR326" s="1"/>
      <c r="AS326" s="1"/>
      <c r="AT326" s="1"/>
      <c r="AV326" s="1"/>
      <c r="BC326" s="1"/>
      <c r="BD326" s="1"/>
      <c r="BE326" s="1"/>
      <c r="BF326" s="1"/>
      <c r="BG326" s="1"/>
      <c r="BH326" s="1"/>
      <c r="BI326" s="1"/>
      <c r="BJ326" s="1"/>
      <c r="BK326" s="1"/>
      <c r="BL326" s="1"/>
      <c r="BM326" s="1"/>
      <c r="BN326" s="1"/>
      <c r="BO326" s="1"/>
      <c r="BP326" s="1"/>
      <c r="BQ326" s="1"/>
      <c r="BR326" s="1"/>
      <c r="BS326" s="1"/>
      <c r="BT326" s="1"/>
      <c r="BU326" s="1"/>
      <c r="BV326" s="1"/>
      <c r="BW326" s="1"/>
      <c r="BX326" s="1"/>
      <c r="BY326" s="1"/>
      <c r="BZ326" s="1"/>
      <c r="CA326" s="1"/>
      <c r="CM326"/>
      <c r="CN326"/>
      <c r="CO326"/>
      <c r="CP326"/>
      <c r="CQ326"/>
      <c r="CR326"/>
    </row>
    <row r="327" spans="33:96">
      <c r="AG327" s="1"/>
      <c r="AH327" s="1"/>
      <c r="AI327" s="1"/>
      <c r="AJ327" s="1"/>
      <c r="AR327" s="1"/>
      <c r="AS327" s="1"/>
      <c r="AT327" s="1"/>
      <c r="AV327" s="1"/>
      <c r="BC327" s="1"/>
      <c r="BD327" s="1"/>
      <c r="BE327" s="1"/>
      <c r="BF327" s="1"/>
      <c r="BG327" s="1"/>
      <c r="BH327" s="1"/>
      <c r="BI327" s="1"/>
      <c r="BJ327" s="1"/>
      <c r="BK327" s="1"/>
      <c r="BL327" s="1"/>
      <c r="BM327" s="1"/>
      <c r="BN327" s="1"/>
      <c r="BO327" s="1"/>
      <c r="BP327" s="1"/>
      <c r="BQ327" s="1"/>
      <c r="BR327" s="1"/>
      <c r="BS327" s="1"/>
      <c r="BT327" s="1"/>
      <c r="BU327" s="1"/>
      <c r="BV327" s="1"/>
      <c r="BW327" s="1"/>
      <c r="BX327" s="1"/>
      <c r="BY327" s="1"/>
      <c r="BZ327" s="1"/>
      <c r="CA327" s="1"/>
      <c r="CM327"/>
      <c r="CN327"/>
      <c r="CO327"/>
      <c r="CP327"/>
      <c r="CQ327"/>
      <c r="CR327"/>
    </row>
    <row r="328" spans="33:96">
      <c r="AG328" s="1"/>
      <c r="AH328" s="1"/>
      <c r="AI328" s="1"/>
      <c r="AJ328" s="1"/>
      <c r="AR328" s="1"/>
      <c r="AS328" s="1"/>
      <c r="AT328" s="1"/>
      <c r="AV328" s="1"/>
      <c r="BC328" s="1"/>
      <c r="BD328" s="1"/>
      <c r="BE328" s="1"/>
      <c r="BF328" s="1"/>
      <c r="BG328" s="1"/>
      <c r="BH328" s="1"/>
      <c r="BI328" s="1"/>
      <c r="BJ328" s="1"/>
      <c r="BK328" s="1"/>
      <c r="BL328" s="1"/>
      <c r="BM328" s="1"/>
      <c r="BN328" s="1"/>
      <c r="BO328" s="1"/>
      <c r="BP328" s="1"/>
      <c r="BQ328" s="1"/>
      <c r="BR328" s="1"/>
      <c r="BS328" s="1"/>
      <c r="BT328" s="1"/>
      <c r="BU328" s="1"/>
      <c r="BV328" s="1"/>
      <c r="BW328" s="1"/>
      <c r="BX328" s="1"/>
      <c r="BY328" s="1"/>
      <c r="BZ328" s="1"/>
      <c r="CA328" s="1"/>
      <c r="CM328"/>
      <c r="CN328"/>
      <c r="CO328"/>
      <c r="CP328"/>
      <c r="CQ328"/>
      <c r="CR328"/>
    </row>
    <row r="329" spans="33:96">
      <c r="AG329" s="1"/>
      <c r="AH329" s="1"/>
      <c r="AI329" s="1"/>
      <c r="AJ329" s="1"/>
      <c r="AR329" s="1"/>
      <c r="AS329" s="1"/>
      <c r="AT329" s="1"/>
      <c r="AV329" s="1"/>
      <c r="BC329" s="1"/>
      <c r="BD329" s="1"/>
      <c r="BE329" s="1"/>
      <c r="BF329" s="1"/>
      <c r="BG329" s="1"/>
      <c r="BH329" s="1"/>
      <c r="BI329" s="1"/>
      <c r="BJ329" s="1"/>
      <c r="BK329" s="1"/>
      <c r="BL329" s="1"/>
      <c r="BM329" s="1"/>
      <c r="BN329" s="1"/>
      <c r="BO329" s="1"/>
      <c r="BP329" s="1"/>
      <c r="BQ329" s="1"/>
      <c r="BR329" s="1"/>
      <c r="BS329" s="1"/>
      <c r="BT329" s="1"/>
      <c r="BU329" s="1"/>
      <c r="BV329" s="1"/>
      <c r="BW329" s="1"/>
      <c r="BX329" s="1"/>
      <c r="BY329" s="1"/>
      <c r="BZ329" s="1"/>
      <c r="CA329" s="1"/>
      <c r="CM329"/>
      <c r="CN329"/>
      <c r="CO329"/>
      <c r="CP329"/>
      <c r="CQ329"/>
      <c r="CR329"/>
    </row>
    <row r="330" spans="33:96">
      <c r="AG330" s="1"/>
      <c r="AH330" s="1"/>
      <c r="AI330" s="1"/>
      <c r="AJ330" s="1"/>
      <c r="AR330" s="1"/>
      <c r="AS330" s="1"/>
      <c r="AT330" s="1"/>
      <c r="AV330" s="1"/>
      <c r="BC330" s="1"/>
      <c r="BD330" s="1"/>
      <c r="BE330" s="1"/>
      <c r="BF330" s="1"/>
      <c r="BG330" s="1"/>
      <c r="BH330" s="1"/>
      <c r="BI330" s="1"/>
      <c r="BJ330" s="1"/>
      <c r="BK330" s="1"/>
      <c r="BL330" s="1"/>
      <c r="BM330" s="1"/>
      <c r="BN330" s="1"/>
      <c r="BO330" s="1"/>
      <c r="BP330" s="1"/>
      <c r="BQ330" s="1"/>
      <c r="BR330" s="1"/>
      <c r="BS330" s="1"/>
      <c r="BT330" s="1"/>
      <c r="BU330" s="1"/>
      <c r="BV330" s="1"/>
      <c r="BW330" s="1"/>
      <c r="BX330" s="1"/>
      <c r="BY330" s="1"/>
      <c r="BZ330" s="1"/>
      <c r="CA330" s="1"/>
      <c r="CM330"/>
      <c r="CN330"/>
      <c r="CO330"/>
      <c r="CP330"/>
      <c r="CQ330"/>
      <c r="CR330"/>
    </row>
    <row r="331" spans="33:96">
      <c r="AG331" s="1"/>
      <c r="AH331" s="1"/>
      <c r="AI331" s="1"/>
      <c r="AJ331" s="1"/>
      <c r="AR331" s="1"/>
      <c r="AS331" s="1"/>
      <c r="AT331" s="1"/>
      <c r="AV331" s="1"/>
      <c r="BC331" s="1"/>
      <c r="BD331" s="1"/>
      <c r="BE331" s="1"/>
      <c r="BF331" s="1"/>
      <c r="BG331" s="1"/>
      <c r="BH331" s="1"/>
      <c r="BI331" s="1"/>
      <c r="BJ331" s="1"/>
      <c r="BK331" s="1"/>
      <c r="BL331" s="1"/>
      <c r="BM331" s="1"/>
      <c r="BN331" s="1"/>
      <c r="BO331" s="1"/>
      <c r="BP331" s="1"/>
      <c r="BQ331" s="1"/>
      <c r="BR331" s="1"/>
      <c r="BS331" s="1"/>
      <c r="BT331" s="1"/>
      <c r="BU331" s="1"/>
      <c r="BV331" s="1"/>
      <c r="BW331" s="1"/>
      <c r="BX331" s="1"/>
      <c r="BY331" s="1"/>
      <c r="BZ331" s="1"/>
      <c r="CA331" s="1"/>
      <c r="CM331"/>
      <c r="CN331"/>
      <c r="CO331"/>
      <c r="CP331"/>
      <c r="CQ331"/>
      <c r="CR331"/>
    </row>
    <row r="332" spans="33:96">
      <c r="AG332" s="1"/>
      <c r="AH332" s="1"/>
      <c r="AI332" s="1"/>
      <c r="AJ332" s="1"/>
      <c r="AR332" s="1"/>
      <c r="AS332" s="1"/>
      <c r="AT332" s="1"/>
      <c r="AV332" s="1"/>
      <c r="BC332" s="1"/>
      <c r="BD332" s="1"/>
      <c r="BE332" s="1"/>
      <c r="BF332" s="1"/>
      <c r="BG332" s="1"/>
      <c r="BH332" s="1"/>
      <c r="BI332" s="1"/>
      <c r="BJ332" s="1"/>
      <c r="BK332" s="1"/>
      <c r="BL332" s="1"/>
      <c r="BM332" s="1"/>
      <c r="BN332" s="1"/>
      <c r="BO332" s="1"/>
      <c r="BP332" s="1"/>
      <c r="BQ332" s="1"/>
      <c r="BR332" s="1"/>
      <c r="BS332" s="1"/>
      <c r="BT332" s="1"/>
      <c r="BU332" s="1"/>
      <c r="BV332" s="1"/>
      <c r="BW332" s="1"/>
      <c r="BX332" s="1"/>
      <c r="BY332" s="1"/>
      <c r="BZ332" s="1"/>
      <c r="CA332" s="1"/>
      <c r="CM332"/>
      <c r="CN332"/>
      <c r="CO332"/>
      <c r="CP332"/>
      <c r="CQ332"/>
      <c r="CR332"/>
    </row>
    <row r="333" spans="33:96">
      <c r="AG333" s="1"/>
      <c r="AH333" s="1"/>
      <c r="AI333" s="1"/>
      <c r="AJ333" s="1"/>
      <c r="AR333" s="1"/>
      <c r="AS333" s="1"/>
      <c r="AT333" s="1"/>
      <c r="AV333" s="1"/>
      <c r="BC333" s="1"/>
      <c r="BD333" s="1"/>
      <c r="BE333" s="1"/>
      <c r="BF333" s="1"/>
      <c r="BG333" s="1"/>
      <c r="BH333" s="1"/>
      <c r="BI333" s="1"/>
      <c r="BJ333" s="1"/>
      <c r="BK333" s="1"/>
      <c r="BL333" s="1"/>
      <c r="BM333" s="1"/>
      <c r="BN333" s="1"/>
      <c r="BO333" s="1"/>
      <c r="BP333" s="1"/>
      <c r="BQ333" s="1"/>
      <c r="BR333" s="1"/>
      <c r="BS333" s="1"/>
      <c r="BT333" s="1"/>
      <c r="BU333" s="1"/>
      <c r="BV333" s="1"/>
      <c r="BW333" s="1"/>
      <c r="BX333" s="1"/>
      <c r="BY333" s="1"/>
      <c r="BZ333" s="1"/>
      <c r="CA333" s="1"/>
      <c r="CM333"/>
      <c r="CN333"/>
      <c r="CO333"/>
      <c r="CP333"/>
      <c r="CQ333"/>
      <c r="CR333"/>
    </row>
    <row r="334" spans="33:96">
      <c r="AG334" s="1"/>
      <c r="AH334" s="1"/>
      <c r="AI334" s="1"/>
      <c r="AJ334" s="1"/>
      <c r="AR334" s="1"/>
      <c r="AS334" s="1"/>
      <c r="AT334" s="1"/>
      <c r="AV334" s="1"/>
      <c r="BC334" s="1"/>
      <c r="BD334" s="1"/>
      <c r="BE334" s="1"/>
      <c r="BF334" s="1"/>
      <c r="BG334" s="1"/>
      <c r="BH334" s="1"/>
      <c r="BI334" s="1"/>
      <c r="BJ334" s="1"/>
      <c r="BK334" s="1"/>
      <c r="BL334" s="1"/>
      <c r="BM334" s="1"/>
      <c r="BN334" s="1"/>
      <c r="BO334" s="1"/>
      <c r="BP334" s="1"/>
      <c r="BQ334" s="1"/>
      <c r="BR334" s="1"/>
      <c r="BS334" s="1"/>
      <c r="BT334" s="1"/>
      <c r="BU334" s="1"/>
      <c r="BV334" s="1"/>
      <c r="BW334" s="1"/>
      <c r="BX334" s="1"/>
      <c r="BY334" s="1"/>
      <c r="BZ334" s="1"/>
      <c r="CA334" s="1"/>
      <c r="CM334"/>
      <c r="CN334"/>
      <c r="CO334"/>
      <c r="CP334"/>
      <c r="CQ334"/>
      <c r="CR334"/>
    </row>
    <row r="335" spans="33:96">
      <c r="AG335" s="1"/>
      <c r="AH335" s="1"/>
      <c r="AI335" s="1"/>
      <c r="AJ335" s="1"/>
      <c r="AR335" s="1"/>
      <c r="AS335" s="1"/>
      <c r="AT335" s="1"/>
      <c r="AV335" s="1"/>
      <c r="BC335" s="1"/>
      <c r="BD335" s="1"/>
      <c r="BE335" s="1"/>
      <c r="BF335" s="1"/>
      <c r="BG335" s="1"/>
      <c r="BH335" s="1"/>
      <c r="BI335" s="1"/>
      <c r="BJ335" s="1"/>
      <c r="BK335" s="1"/>
      <c r="BL335" s="1"/>
      <c r="BM335" s="1"/>
      <c r="BN335" s="1"/>
      <c r="BO335" s="1"/>
      <c r="BP335" s="1"/>
      <c r="BQ335" s="1"/>
      <c r="BR335" s="1"/>
      <c r="BS335" s="1"/>
      <c r="BT335" s="1"/>
      <c r="BU335" s="1"/>
      <c r="BV335" s="1"/>
      <c r="BW335" s="1"/>
      <c r="BX335" s="1"/>
      <c r="BY335" s="1"/>
      <c r="BZ335" s="1"/>
      <c r="CA335" s="1"/>
      <c r="CM335"/>
      <c r="CN335"/>
      <c r="CO335"/>
      <c r="CP335"/>
      <c r="CQ335"/>
      <c r="CR335"/>
    </row>
    <row r="336" spans="33:96">
      <c r="AG336" s="1"/>
      <c r="AH336" s="1"/>
      <c r="AI336" s="1"/>
      <c r="AJ336" s="1"/>
      <c r="AR336" s="1"/>
      <c r="AS336" s="1"/>
      <c r="AT336" s="1"/>
      <c r="AV336" s="1"/>
      <c r="BC336" s="1"/>
      <c r="BD336" s="1"/>
      <c r="BE336" s="1"/>
      <c r="BF336" s="1"/>
      <c r="BG336" s="1"/>
      <c r="BH336" s="1"/>
      <c r="BI336" s="1"/>
      <c r="BJ336" s="1"/>
      <c r="BK336" s="1"/>
      <c r="BL336" s="1"/>
      <c r="BM336" s="1"/>
      <c r="BN336" s="1"/>
      <c r="BO336" s="1"/>
      <c r="BP336" s="1"/>
      <c r="BQ336" s="1"/>
      <c r="BR336" s="1"/>
      <c r="BS336" s="1"/>
      <c r="BT336" s="1"/>
      <c r="BU336" s="1"/>
      <c r="BV336" s="1"/>
      <c r="BW336" s="1"/>
      <c r="BX336" s="1"/>
      <c r="BY336" s="1"/>
      <c r="BZ336" s="1"/>
      <c r="CA336" s="1"/>
      <c r="CM336"/>
      <c r="CN336"/>
      <c r="CO336"/>
      <c r="CP336"/>
      <c r="CQ336"/>
      <c r="CR336"/>
    </row>
    <row r="337" spans="33:96">
      <c r="AG337" s="1"/>
      <c r="AH337" s="1"/>
      <c r="AI337" s="1"/>
      <c r="AJ337" s="1"/>
      <c r="AR337" s="1"/>
      <c r="AS337" s="1"/>
      <c r="AT337" s="1"/>
      <c r="AV337" s="1"/>
      <c r="BC337" s="1"/>
      <c r="BD337" s="1"/>
      <c r="BE337" s="1"/>
      <c r="BF337" s="1"/>
      <c r="BG337" s="1"/>
      <c r="BH337" s="1"/>
      <c r="BI337" s="1"/>
      <c r="BJ337" s="1"/>
      <c r="BK337" s="1"/>
      <c r="BL337" s="1"/>
      <c r="BM337" s="1"/>
      <c r="BN337" s="1"/>
      <c r="BO337" s="1"/>
      <c r="BP337" s="1"/>
      <c r="BQ337" s="1"/>
      <c r="BR337" s="1"/>
      <c r="BS337" s="1"/>
      <c r="BT337" s="1"/>
      <c r="BU337" s="1"/>
      <c r="BV337" s="1"/>
      <c r="BW337" s="1"/>
      <c r="BX337" s="1"/>
      <c r="BY337" s="1"/>
      <c r="BZ337" s="1"/>
      <c r="CA337" s="1"/>
      <c r="CM337"/>
      <c r="CN337"/>
      <c r="CO337"/>
      <c r="CP337"/>
      <c r="CQ337"/>
      <c r="CR337"/>
    </row>
    <row r="338" spans="33:96">
      <c r="AG338" s="1"/>
      <c r="AH338" s="1"/>
      <c r="AI338" s="1"/>
      <c r="AJ338" s="1"/>
      <c r="AR338" s="1"/>
      <c r="AS338" s="1"/>
      <c r="AT338" s="1"/>
      <c r="AV338" s="1"/>
      <c r="BC338" s="1"/>
      <c r="BD338" s="1"/>
      <c r="BE338" s="1"/>
      <c r="BF338" s="1"/>
      <c r="BG338" s="1"/>
      <c r="BH338" s="1"/>
      <c r="BI338" s="1"/>
      <c r="BJ338" s="1"/>
      <c r="BK338" s="1"/>
      <c r="BL338" s="1"/>
      <c r="BM338" s="1"/>
      <c r="BN338" s="1"/>
      <c r="BO338" s="1"/>
      <c r="BP338" s="1"/>
      <c r="BQ338" s="1"/>
      <c r="BR338" s="1"/>
      <c r="BS338" s="1"/>
      <c r="BT338" s="1"/>
      <c r="BU338" s="1"/>
      <c r="BV338" s="1"/>
      <c r="BW338" s="1"/>
      <c r="BX338" s="1"/>
      <c r="BY338" s="1"/>
      <c r="BZ338" s="1"/>
      <c r="CA338" s="1"/>
      <c r="CM338"/>
      <c r="CN338"/>
      <c r="CO338"/>
      <c r="CP338"/>
      <c r="CQ338"/>
      <c r="CR338"/>
    </row>
    <row r="339" spans="33:96">
      <c r="AG339" s="1"/>
      <c r="AH339" s="1"/>
      <c r="AI339" s="1"/>
      <c r="AJ339" s="1"/>
      <c r="AR339" s="1"/>
      <c r="AS339" s="1"/>
      <c r="AT339" s="1"/>
      <c r="AV339" s="1"/>
      <c r="BC339" s="1"/>
      <c r="BD339" s="1"/>
      <c r="BE339" s="1"/>
      <c r="BF339" s="1"/>
      <c r="BG339" s="1"/>
      <c r="BH339" s="1"/>
      <c r="BI339" s="1"/>
      <c r="BJ339" s="1"/>
      <c r="BK339" s="1"/>
      <c r="BL339" s="1"/>
      <c r="BM339" s="1"/>
      <c r="BN339" s="1"/>
      <c r="BO339" s="1"/>
      <c r="BP339" s="1"/>
      <c r="BQ339" s="1"/>
      <c r="BR339" s="1"/>
      <c r="BS339" s="1"/>
      <c r="BT339" s="1"/>
      <c r="BU339" s="1"/>
      <c r="BV339" s="1"/>
      <c r="BW339" s="1"/>
      <c r="BX339" s="1"/>
      <c r="BY339" s="1"/>
      <c r="BZ339" s="1"/>
      <c r="CA339" s="1"/>
      <c r="CM339"/>
      <c r="CN339"/>
      <c r="CO339"/>
      <c r="CP339"/>
      <c r="CQ339"/>
      <c r="CR339"/>
    </row>
    <row r="340" spans="33:96">
      <c r="AG340" s="1"/>
      <c r="AH340" s="1"/>
      <c r="AI340" s="1"/>
      <c r="AJ340" s="1"/>
      <c r="AR340" s="1"/>
      <c r="AS340" s="1"/>
      <c r="AT340" s="1"/>
      <c r="AV340" s="1"/>
      <c r="BC340" s="1"/>
      <c r="BD340" s="1"/>
      <c r="BE340" s="1"/>
      <c r="BF340" s="1"/>
      <c r="BG340" s="1"/>
      <c r="BH340" s="1"/>
      <c r="BI340" s="1"/>
      <c r="BJ340" s="1"/>
      <c r="BK340" s="1"/>
      <c r="BL340" s="1"/>
      <c r="BM340" s="1"/>
      <c r="BN340" s="1"/>
      <c r="BO340" s="1"/>
      <c r="BP340" s="1"/>
      <c r="BQ340" s="1"/>
      <c r="BR340" s="1"/>
      <c r="BS340" s="1"/>
      <c r="BT340" s="1"/>
      <c r="BU340" s="1"/>
      <c r="BV340" s="1"/>
      <c r="BW340" s="1"/>
      <c r="BX340" s="1"/>
      <c r="BY340" s="1"/>
      <c r="BZ340" s="1"/>
      <c r="CA340" s="1"/>
      <c r="CM340"/>
      <c r="CN340"/>
      <c r="CO340"/>
      <c r="CP340"/>
      <c r="CQ340"/>
      <c r="CR340"/>
    </row>
    <row r="341" spans="33:96">
      <c r="AG341" s="1"/>
      <c r="AH341" s="1"/>
      <c r="AI341" s="1"/>
      <c r="AJ341" s="1"/>
      <c r="AR341" s="1"/>
      <c r="AS341" s="1"/>
      <c r="AT341" s="1"/>
      <c r="AV341" s="1"/>
      <c r="BC341" s="1"/>
      <c r="BD341" s="1"/>
      <c r="BE341" s="1"/>
      <c r="BF341" s="1"/>
      <c r="BG341" s="1"/>
      <c r="BH341" s="1"/>
      <c r="BI341" s="1"/>
      <c r="BJ341" s="1"/>
      <c r="BK341" s="1"/>
      <c r="BL341" s="1"/>
      <c r="BM341" s="1"/>
      <c r="BN341" s="1"/>
      <c r="BO341" s="1"/>
      <c r="BP341" s="1"/>
      <c r="BQ341" s="1"/>
      <c r="BR341" s="1"/>
      <c r="BS341" s="1"/>
      <c r="BT341" s="1"/>
      <c r="BU341" s="1"/>
      <c r="BV341" s="1"/>
      <c r="BW341" s="1"/>
      <c r="BX341" s="1"/>
      <c r="BY341" s="1"/>
      <c r="BZ341" s="1"/>
      <c r="CA341" s="1"/>
      <c r="CM341"/>
      <c r="CN341"/>
      <c r="CO341"/>
      <c r="CP341"/>
      <c r="CQ341"/>
      <c r="CR341"/>
    </row>
    <row r="342" spans="33:96">
      <c r="AG342" s="1"/>
      <c r="AH342" s="1"/>
      <c r="AI342" s="1"/>
      <c r="AJ342" s="1"/>
      <c r="AR342" s="1"/>
      <c r="AS342" s="1"/>
      <c r="AT342" s="1"/>
      <c r="AV342" s="1"/>
      <c r="BC342" s="1"/>
      <c r="BD342" s="1"/>
      <c r="BE342" s="1"/>
      <c r="BF342" s="1"/>
      <c r="BG342" s="1"/>
      <c r="BH342" s="1"/>
      <c r="BI342" s="1"/>
      <c r="BJ342" s="1"/>
      <c r="BK342" s="1"/>
      <c r="BL342" s="1"/>
      <c r="BM342" s="1"/>
      <c r="BN342" s="1"/>
      <c r="BO342" s="1"/>
      <c r="BP342" s="1"/>
      <c r="BQ342" s="1"/>
      <c r="BR342" s="1"/>
      <c r="BS342" s="1"/>
      <c r="BT342" s="1"/>
      <c r="BU342" s="1"/>
      <c r="BV342" s="1"/>
      <c r="BW342" s="1"/>
      <c r="BX342" s="1"/>
      <c r="BY342" s="1"/>
      <c r="BZ342" s="1"/>
      <c r="CA342" s="1"/>
      <c r="CM342"/>
      <c r="CN342"/>
      <c r="CO342"/>
      <c r="CP342"/>
      <c r="CQ342"/>
      <c r="CR342"/>
    </row>
    <row r="343" spans="33:96">
      <c r="AG343" s="1"/>
      <c r="AH343" s="1"/>
      <c r="AI343" s="1"/>
      <c r="AJ343" s="1"/>
      <c r="AR343" s="1"/>
      <c r="AS343" s="1"/>
      <c r="AT343" s="1"/>
      <c r="AV343" s="1"/>
      <c r="BC343" s="1"/>
      <c r="BD343" s="1"/>
      <c r="BE343" s="1"/>
      <c r="BF343" s="1"/>
      <c r="BG343" s="1"/>
      <c r="BH343" s="1"/>
      <c r="BI343" s="1"/>
      <c r="BJ343" s="1"/>
      <c r="BK343" s="1"/>
      <c r="BL343" s="1"/>
      <c r="BM343" s="1"/>
      <c r="BN343" s="1"/>
      <c r="BO343" s="1"/>
      <c r="BP343" s="1"/>
      <c r="BQ343" s="1"/>
      <c r="BR343" s="1"/>
      <c r="BS343" s="1"/>
      <c r="BT343" s="1"/>
      <c r="BU343" s="1"/>
      <c r="BV343" s="1"/>
      <c r="BW343" s="1"/>
      <c r="BX343" s="1"/>
      <c r="BY343" s="1"/>
      <c r="BZ343" s="1"/>
      <c r="CA343" s="1"/>
      <c r="CM343"/>
      <c r="CN343"/>
      <c r="CO343"/>
      <c r="CP343"/>
      <c r="CQ343"/>
      <c r="CR343"/>
    </row>
    <row r="344" spans="33:96">
      <c r="AG344" s="1"/>
      <c r="AH344" s="1"/>
      <c r="AI344" s="1"/>
      <c r="AJ344" s="1"/>
      <c r="AR344" s="1"/>
      <c r="AS344" s="1"/>
      <c r="AT344" s="1"/>
      <c r="AV344" s="1"/>
      <c r="BC344" s="1"/>
      <c r="BD344" s="1"/>
      <c r="BE344" s="1"/>
      <c r="BF344" s="1"/>
      <c r="BG344" s="1"/>
      <c r="BH344" s="1"/>
      <c r="BI344" s="1"/>
      <c r="BJ344" s="1"/>
      <c r="BK344" s="1"/>
      <c r="BL344" s="1"/>
      <c r="BM344" s="1"/>
      <c r="BN344" s="1"/>
      <c r="BO344" s="1"/>
      <c r="BP344" s="1"/>
      <c r="BQ344" s="1"/>
      <c r="BR344" s="1"/>
      <c r="BS344" s="1"/>
      <c r="BT344" s="1"/>
      <c r="BU344" s="1"/>
      <c r="BV344" s="1"/>
      <c r="BW344" s="1"/>
      <c r="BX344" s="1"/>
      <c r="BY344" s="1"/>
      <c r="BZ344" s="1"/>
      <c r="CA344" s="1"/>
      <c r="CM344"/>
      <c r="CN344"/>
      <c r="CO344"/>
      <c r="CP344"/>
      <c r="CQ344"/>
      <c r="CR344"/>
    </row>
    <row r="345" spans="33:96">
      <c r="AG345" s="1"/>
      <c r="AH345" s="1"/>
      <c r="AI345" s="1"/>
      <c r="AJ345" s="1"/>
      <c r="AR345" s="1"/>
      <c r="AS345" s="1"/>
      <c r="AT345" s="1"/>
      <c r="AV345" s="1"/>
      <c r="BC345" s="1"/>
      <c r="BD345" s="1"/>
      <c r="BE345" s="1"/>
      <c r="BF345" s="1"/>
      <c r="BG345" s="1"/>
      <c r="BH345" s="1"/>
      <c r="BI345" s="1"/>
      <c r="BJ345" s="1"/>
      <c r="BK345" s="1"/>
      <c r="BL345" s="1"/>
      <c r="BM345" s="1"/>
      <c r="BN345" s="1"/>
      <c r="BO345" s="1"/>
      <c r="BP345" s="1"/>
      <c r="BQ345" s="1"/>
      <c r="BR345" s="1"/>
      <c r="BS345" s="1"/>
      <c r="BT345" s="1"/>
      <c r="BU345" s="1"/>
      <c r="BV345" s="1"/>
      <c r="BW345" s="1"/>
      <c r="BX345" s="1"/>
      <c r="BY345" s="1"/>
      <c r="BZ345" s="1"/>
      <c r="CA345" s="1"/>
      <c r="CM345"/>
      <c r="CN345"/>
      <c r="CO345"/>
      <c r="CP345"/>
      <c r="CQ345"/>
      <c r="CR345"/>
    </row>
    <row r="346" spans="33:96">
      <c r="AG346" s="1"/>
      <c r="AH346" s="1"/>
      <c r="AI346" s="1"/>
      <c r="AJ346" s="1"/>
      <c r="AR346" s="1"/>
      <c r="AS346" s="1"/>
      <c r="AT346" s="1"/>
      <c r="AV346" s="1"/>
      <c r="BC346" s="1"/>
      <c r="BD346" s="1"/>
      <c r="BE346" s="1"/>
      <c r="BF346" s="1"/>
      <c r="BG346" s="1"/>
      <c r="BH346" s="1"/>
      <c r="BI346" s="1"/>
      <c r="BJ346" s="1"/>
      <c r="BK346" s="1"/>
      <c r="BL346" s="1"/>
      <c r="BM346" s="1"/>
      <c r="BN346" s="1"/>
      <c r="BO346" s="1"/>
      <c r="BP346" s="1"/>
      <c r="BQ346" s="1"/>
      <c r="BR346" s="1"/>
      <c r="BS346" s="1"/>
      <c r="BT346" s="1"/>
      <c r="BU346" s="1"/>
      <c r="BV346" s="1"/>
      <c r="BW346" s="1"/>
      <c r="BX346" s="1"/>
      <c r="BY346" s="1"/>
      <c r="BZ346" s="1"/>
      <c r="CA346" s="1"/>
      <c r="CM346"/>
      <c r="CN346"/>
      <c r="CO346"/>
      <c r="CP346"/>
      <c r="CQ346"/>
      <c r="CR346"/>
    </row>
    <row r="347" spans="33:96">
      <c r="AG347" s="1"/>
      <c r="AH347" s="1"/>
      <c r="AI347" s="1"/>
      <c r="AJ347" s="1"/>
      <c r="AR347" s="1"/>
      <c r="AS347" s="1"/>
      <c r="AT347" s="1"/>
      <c r="AV347" s="1"/>
      <c r="BC347" s="1"/>
      <c r="BD347" s="1"/>
      <c r="BE347" s="1"/>
      <c r="BF347" s="1"/>
      <c r="BG347" s="1"/>
      <c r="BH347" s="1"/>
      <c r="BI347" s="1"/>
      <c r="BJ347" s="1"/>
      <c r="BK347" s="1"/>
      <c r="BL347" s="1"/>
      <c r="BM347" s="1"/>
      <c r="BN347" s="1"/>
      <c r="BO347" s="1"/>
      <c r="BP347" s="1"/>
      <c r="BQ347" s="1"/>
      <c r="BR347" s="1"/>
      <c r="BS347" s="1"/>
      <c r="BT347" s="1"/>
      <c r="BU347" s="1"/>
      <c r="BV347" s="1"/>
      <c r="BW347" s="1"/>
      <c r="BX347" s="1"/>
      <c r="BY347" s="1"/>
      <c r="BZ347" s="1"/>
      <c r="CA347" s="1"/>
      <c r="CM347"/>
      <c r="CN347"/>
      <c r="CO347"/>
      <c r="CP347"/>
      <c r="CQ347"/>
      <c r="CR347"/>
    </row>
    <row r="348" spans="33:96">
      <c r="AG348" s="1"/>
      <c r="AH348" s="1"/>
      <c r="AI348" s="1"/>
      <c r="AJ348" s="1"/>
      <c r="AR348" s="1"/>
      <c r="AS348" s="1"/>
      <c r="AT348" s="1"/>
      <c r="AV348" s="1"/>
      <c r="BC348" s="1"/>
      <c r="BD348" s="1"/>
      <c r="BE348" s="1"/>
      <c r="BF348" s="1"/>
      <c r="BG348" s="1"/>
      <c r="BH348" s="1"/>
      <c r="BI348" s="1"/>
      <c r="BJ348" s="1"/>
      <c r="BK348" s="1"/>
      <c r="BL348" s="1"/>
      <c r="BM348" s="1"/>
      <c r="BN348" s="1"/>
      <c r="BO348" s="1"/>
      <c r="BP348" s="1"/>
      <c r="BQ348" s="1"/>
      <c r="BR348" s="1"/>
      <c r="BS348" s="1"/>
      <c r="BT348" s="1"/>
      <c r="BU348" s="1"/>
      <c r="BV348" s="1"/>
      <c r="BW348" s="1"/>
      <c r="BX348" s="1"/>
      <c r="BY348" s="1"/>
      <c r="BZ348" s="1"/>
      <c r="CA348" s="1"/>
      <c r="CM348"/>
      <c r="CN348"/>
      <c r="CO348"/>
      <c r="CP348"/>
      <c r="CQ348"/>
      <c r="CR348"/>
    </row>
    <row r="349" spans="33:96">
      <c r="AG349" s="1"/>
      <c r="AH349" s="1"/>
      <c r="AI349" s="1"/>
      <c r="AJ349" s="1"/>
      <c r="AR349" s="1"/>
      <c r="AS349" s="1"/>
      <c r="AT349" s="1"/>
      <c r="AV349" s="1"/>
      <c r="BC349" s="1"/>
      <c r="BD349" s="1"/>
      <c r="BE349" s="1"/>
      <c r="BF349" s="1"/>
      <c r="BG349" s="1"/>
      <c r="BH349" s="1"/>
      <c r="BI349" s="1"/>
      <c r="BJ349" s="1"/>
      <c r="BK349" s="1"/>
      <c r="BL349" s="1"/>
      <c r="BM349" s="1"/>
      <c r="BN349" s="1"/>
      <c r="BO349" s="1"/>
      <c r="BP349" s="1"/>
      <c r="BQ349" s="1"/>
      <c r="BR349" s="1"/>
      <c r="BS349" s="1"/>
      <c r="BT349" s="1"/>
      <c r="BU349" s="1"/>
      <c r="BV349" s="1"/>
      <c r="BW349" s="1"/>
      <c r="BX349" s="1"/>
      <c r="BY349" s="1"/>
      <c r="BZ349" s="1"/>
      <c r="CA349" s="1"/>
      <c r="CM349"/>
      <c r="CN349"/>
      <c r="CO349"/>
      <c r="CP349"/>
      <c r="CQ349"/>
      <c r="CR349"/>
    </row>
    <row r="350" spans="33:96">
      <c r="AG350" s="1"/>
      <c r="AH350" s="1"/>
      <c r="AI350" s="1"/>
      <c r="AJ350" s="1"/>
      <c r="AR350" s="1"/>
      <c r="AS350" s="1"/>
      <c r="AT350" s="1"/>
      <c r="AV350" s="1"/>
      <c r="BC350" s="1"/>
      <c r="BD350" s="1"/>
      <c r="BE350" s="1"/>
      <c r="BF350" s="1"/>
      <c r="BG350" s="1"/>
      <c r="BH350" s="1"/>
      <c r="BI350" s="1"/>
      <c r="BJ350" s="1"/>
      <c r="BK350" s="1"/>
      <c r="BL350" s="1"/>
      <c r="BM350" s="1"/>
      <c r="BN350" s="1"/>
      <c r="BO350" s="1"/>
      <c r="BP350" s="1"/>
      <c r="BQ350" s="1"/>
      <c r="BR350" s="1"/>
      <c r="BS350" s="1"/>
      <c r="BT350" s="1"/>
      <c r="BU350" s="1"/>
      <c r="BV350" s="1"/>
      <c r="BW350" s="1"/>
      <c r="BX350" s="1"/>
      <c r="BY350" s="1"/>
      <c r="BZ350" s="1"/>
      <c r="CA350" s="1"/>
      <c r="CM350"/>
      <c r="CN350"/>
      <c r="CO350"/>
      <c r="CP350"/>
      <c r="CQ350"/>
      <c r="CR350"/>
    </row>
    <row r="351" spans="33:96">
      <c r="AG351" s="1"/>
      <c r="AH351" s="1"/>
      <c r="AI351" s="1"/>
      <c r="AJ351" s="1"/>
      <c r="AR351" s="1"/>
      <c r="AS351" s="1"/>
      <c r="AT351" s="1"/>
      <c r="AV351" s="1"/>
      <c r="BC351" s="1"/>
      <c r="BD351" s="1"/>
      <c r="BE351" s="1"/>
      <c r="BF351" s="1"/>
      <c r="BG351" s="1"/>
      <c r="BH351" s="1"/>
      <c r="BI351" s="1"/>
      <c r="BJ351" s="1"/>
      <c r="BK351" s="1"/>
      <c r="BL351" s="1"/>
      <c r="BM351" s="1"/>
      <c r="BN351" s="1"/>
      <c r="BO351" s="1"/>
      <c r="BP351" s="1"/>
      <c r="BQ351" s="1"/>
      <c r="BR351" s="1"/>
      <c r="BS351" s="1"/>
      <c r="BT351" s="1"/>
      <c r="BU351" s="1"/>
      <c r="BV351" s="1"/>
      <c r="BW351" s="1"/>
      <c r="BX351" s="1"/>
      <c r="BY351" s="1"/>
      <c r="BZ351" s="1"/>
      <c r="CA351" s="1"/>
      <c r="CM351"/>
      <c r="CN351"/>
      <c r="CO351"/>
      <c r="CP351"/>
      <c r="CQ351"/>
      <c r="CR351"/>
    </row>
    <row r="352" spans="33:96">
      <c r="AG352" s="1"/>
      <c r="AH352" s="1"/>
      <c r="AI352" s="1"/>
      <c r="AJ352" s="1"/>
      <c r="AR352" s="1"/>
      <c r="AS352" s="1"/>
      <c r="AT352" s="1"/>
      <c r="AV352" s="1"/>
      <c r="BC352" s="1"/>
      <c r="BD352" s="1"/>
      <c r="BE352" s="1"/>
      <c r="BF352" s="1"/>
      <c r="BG352" s="1"/>
      <c r="BH352" s="1"/>
      <c r="BI352" s="1"/>
      <c r="BJ352" s="1"/>
      <c r="BK352" s="1"/>
      <c r="BL352" s="1"/>
      <c r="BM352" s="1"/>
      <c r="BN352" s="1"/>
      <c r="BO352" s="1"/>
      <c r="BP352" s="1"/>
      <c r="BQ352" s="1"/>
      <c r="BR352" s="1"/>
      <c r="BS352" s="1"/>
      <c r="BT352" s="1"/>
      <c r="BU352" s="1"/>
      <c r="BV352" s="1"/>
      <c r="BW352" s="1"/>
      <c r="BX352" s="1"/>
      <c r="BY352" s="1"/>
      <c r="BZ352" s="1"/>
      <c r="CA352" s="1"/>
      <c r="CM352"/>
      <c r="CN352"/>
      <c r="CO352"/>
      <c r="CP352"/>
      <c r="CQ352"/>
      <c r="CR352"/>
    </row>
    <row r="353" spans="33:96">
      <c r="AG353" s="1"/>
      <c r="AH353" s="1"/>
      <c r="AI353" s="1"/>
      <c r="AJ353" s="1"/>
      <c r="AR353" s="1"/>
      <c r="AS353" s="1"/>
      <c r="AT353" s="1"/>
      <c r="AV353" s="1"/>
      <c r="BC353" s="1"/>
      <c r="BD353" s="1"/>
      <c r="BE353" s="1"/>
      <c r="BF353" s="1"/>
      <c r="BG353" s="1"/>
      <c r="BH353" s="1"/>
      <c r="BI353" s="1"/>
      <c r="BJ353" s="1"/>
      <c r="BK353" s="1"/>
      <c r="BL353" s="1"/>
      <c r="BM353" s="1"/>
      <c r="BN353" s="1"/>
      <c r="BO353" s="1"/>
      <c r="BP353" s="1"/>
      <c r="BQ353" s="1"/>
      <c r="BR353" s="1"/>
      <c r="BS353" s="1"/>
      <c r="BT353" s="1"/>
      <c r="BU353" s="1"/>
      <c r="BV353" s="1"/>
      <c r="BW353" s="1"/>
      <c r="BX353" s="1"/>
      <c r="BY353" s="1"/>
      <c r="BZ353" s="1"/>
      <c r="CA353" s="1"/>
      <c r="CM353"/>
      <c r="CN353"/>
      <c r="CO353"/>
      <c r="CP353"/>
      <c r="CQ353"/>
      <c r="CR353"/>
    </row>
    <row r="354" spans="33:96">
      <c r="AG354" s="1"/>
      <c r="AH354" s="1"/>
      <c r="AI354" s="1"/>
      <c r="AJ354" s="1"/>
      <c r="AR354" s="1"/>
      <c r="AS354" s="1"/>
      <c r="AT354" s="1"/>
      <c r="AV354" s="1"/>
      <c r="BC354" s="1"/>
      <c r="BD354" s="1"/>
      <c r="BE354" s="1"/>
      <c r="BF354" s="1"/>
      <c r="BG354" s="1"/>
      <c r="BH354" s="1"/>
      <c r="BI354" s="1"/>
      <c r="BJ354" s="1"/>
      <c r="BK354" s="1"/>
      <c r="BL354" s="1"/>
      <c r="BM354" s="1"/>
      <c r="BN354" s="1"/>
      <c r="BO354" s="1"/>
      <c r="BP354" s="1"/>
      <c r="BQ354" s="1"/>
      <c r="BR354" s="1"/>
      <c r="BS354" s="1"/>
      <c r="BT354" s="1"/>
      <c r="BU354" s="1"/>
      <c r="BV354" s="1"/>
      <c r="BW354" s="1"/>
      <c r="BX354" s="1"/>
      <c r="BY354" s="1"/>
      <c r="BZ354" s="1"/>
      <c r="CA354" s="1"/>
      <c r="CM354"/>
      <c r="CN354"/>
      <c r="CO354"/>
      <c r="CP354"/>
      <c r="CQ354"/>
      <c r="CR354"/>
    </row>
    <row r="355" spans="33:96">
      <c r="AG355" s="1"/>
      <c r="AH355" s="1"/>
      <c r="AI355" s="1"/>
      <c r="AJ355" s="1"/>
      <c r="AR355" s="1"/>
      <c r="AS355" s="1"/>
      <c r="AT355" s="1"/>
      <c r="AV355" s="1"/>
      <c r="BC355" s="1"/>
      <c r="BD355" s="1"/>
      <c r="BE355" s="1"/>
      <c r="BF355" s="1"/>
      <c r="BG355" s="1"/>
      <c r="BH355" s="1"/>
      <c r="BI355" s="1"/>
      <c r="BJ355" s="1"/>
      <c r="BK355" s="1"/>
      <c r="BL355" s="1"/>
      <c r="BM355" s="1"/>
      <c r="BN355" s="1"/>
      <c r="BO355" s="1"/>
      <c r="BP355" s="1"/>
      <c r="BQ355" s="1"/>
      <c r="BR355" s="1"/>
      <c r="BS355" s="1"/>
      <c r="BT355" s="1"/>
      <c r="BU355" s="1"/>
      <c r="BV355" s="1"/>
      <c r="BW355" s="1"/>
      <c r="BX355" s="1"/>
      <c r="BY355" s="1"/>
      <c r="BZ355" s="1"/>
      <c r="CA355" s="1"/>
      <c r="CM355"/>
      <c r="CN355"/>
      <c r="CO355"/>
      <c r="CP355"/>
      <c r="CQ355"/>
      <c r="CR355"/>
    </row>
    <row r="356" spans="33:96">
      <c r="AG356" s="1"/>
      <c r="AH356" s="1"/>
      <c r="AI356" s="1"/>
      <c r="AJ356" s="1"/>
      <c r="AR356" s="1"/>
      <c r="AS356" s="1"/>
      <c r="AT356" s="1"/>
      <c r="AV356" s="1"/>
      <c r="BC356" s="1"/>
      <c r="BD356" s="1"/>
      <c r="BE356" s="1"/>
      <c r="BF356" s="1"/>
      <c r="BG356" s="1"/>
      <c r="BH356" s="1"/>
      <c r="BI356" s="1"/>
      <c r="BJ356" s="1"/>
      <c r="BK356" s="1"/>
      <c r="BL356" s="1"/>
      <c r="BM356" s="1"/>
      <c r="BN356" s="1"/>
      <c r="BO356" s="1"/>
      <c r="BP356" s="1"/>
      <c r="BQ356" s="1"/>
      <c r="BR356" s="1"/>
      <c r="BS356" s="1"/>
      <c r="BT356" s="1"/>
      <c r="BU356" s="1"/>
      <c r="BV356" s="1"/>
      <c r="BW356" s="1"/>
      <c r="BX356" s="1"/>
      <c r="BY356" s="1"/>
      <c r="BZ356" s="1"/>
      <c r="CA356" s="1"/>
      <c r="CM356"/>
      <c r="CN356"/>
      <c r="CO356"/>
      <c r="CP356"/>
      <c r="CQ356"/>
      <c r="CR356"/>
    </row>
    <row r="357" spans="33:96">
      <c r="AG357" s="1"/>
      <c r="AH357" s="1"/>
      <c r="AI357" s="1"/>
      <c r="AJ357" s="1"/>
      <c r="AR357" s="1"/>
      <c r="AS357" s="1"/>
      <c r="AT357" s="1"/>
      <c r="AV357" s="1"/>
      <c r="BC357" s="1"/>
      <c r="BD357" s="1"/>
      <c r="BE357" s="1"/>
      <c r="BF357" s="1"/>
      <c r="BG357" s="1"/>
      <c r="BH357" s="1"/>
      <c r="BI357" s="1"/>
      <c r="BJ357" s="1"/>
      <c r="BK357" s="1"/>
      <c r="BL357" s="1"/>
      <c r="BM357" s="1"/>
      <c r="BN357" s="1"/>
      <c r="BO357" s="1"/>
      <c r="BP357" s="1"/>
      <c r="BQ357" s="1"/>
      <c r="BR357" s="1"/>
      <c r="BS357" s="1"/>
      <c r="BT357" s="1"/>
      <c r="BU357" s="1"/>
      <c r="BV357" s="1"/>
      <c r="BW357" s="1"/>
      <c r="BX357" s="1"/>
      <c r="BY357" s="1"/>
      <c r="BZ357" s="1"/>
      <c r="CA357" s="1"/>
      <c r="CM357"/>
      <c r="CN357"/>
      <c r="CO357"/>
      <c r="CP357"/>
      <c r="CQ357"/>
      <c r="CR357"/>
    </row>
    <row r="358" spans="33:96">
      <c r="AG358" s="1"/>
      <c r="AH358" s="1"/>
      <c r="AI358" s="1"/>
      <c r="AJ358" s="1"/>
      <c r="AR358" s="1"/>
      <c r="AS358" s="1"/>
      <c r="AT358" s="1"/>
      <c r="AV358" s="1"/>
      <c r="BC358" s="1"/>
      <c r="BD358" s="1"/>
      <c r="BE358" s="1"/>
      <c r="BF358" s="1"/>
      <c r="BG358" s="1"/>
      <c r="BH358" s="1"/>
      <c r="BI358" s="1"/>
      <c r="BJ358" s="1"/>
      <c r="BK358" s="1"/>
      <c r="BL358" s="1"/>
      <c r="BM358" s="1"/>
      <c r="BN358" s="1"/>
      <c r="BO358" s="1"/>
      <c r="BP358" s="1"/>
      <c r="BQ358" s="1"/>
      <c r="BR358" s="1"/>
      <c r="BS358" s="1"/>
      <c r="BT358" s="1"/>
      <c r="BU358" s="1"/>
      <c r="BV358" s="1"/>
      <c r="BW358" s="1"/>
      <c r="BX358" s="1"/>
      <c r="BY358" s="1"/>
      <c r="BZ358" s="1"/>
      <c r="CA358" s="1"/>
      <c r="CM358"/>
      <c r="CN358"/>
      <c r="CO358"/>
      <c r="CP358"/>
      <c r="CQ358"/>
      <c r="CR358"/>
    </row>
    <row r="359" spans="33:96">
      <c r="AG359" s="1"/>
      <c r="AH359" s="1"/>
      <c r="AI359" s="1"/>
      <c r="AJ359" s="1"/>
      <c r="AR359" s="1"/>
      <c r="AS359" s="1"/>
      <c r="AT359" s="1"/>
      <c r="AV359" s="1"/>
      <c r="BC359" s="1"/>
      <c r="BD359" s="1"/>
      <c r="BE359" s="1"/>
      <c r="BF359" s="1"/>
      <c r="BG359" s="1"/>
      <c r="BH359" s="1"/>
      <c r="BI359" s="1"/>
      <c r="BJ359" s="1"/>
      <c r="BK359" s="1"/>
      <c r="BL359" s="1"/>
      <c r="BM359" s="1"/>
      <c r="BN359" s="1"/>
      <c r="BO359" s="1"/>
      <c r="BP359" s="1"/>
      <c r="BQ359" s="1"/>
      <c r="BR359" s="1"/>
      <c r="BS359" s="1"/>
      <c r="BT359" s="1"/>
      <c r="BU359" s="1"/>
      <c r="BV359" s="1"/>
      <c r="BW359" s="1"/>
      <c r="BX359" s="1"/>
      <c r="BY359" s="1"/>
      <c r="BZ359" s="1"/>
      <c r="CA359" s="1"/>
      <c r="CM359"/>
      <c r="CN359"/>
      <c r="CO359"/>
      <c r="CP359"/>
      <c r="CQ359"/>
      <c r="CR359"/>
    </row>
    <row r="360" spans="33:96">
      <c r="AG360" s="1"/>
      <c r="AH360" s="1"/>
      <c r="AI360" s="1"/>
      <c r="AJ360" s="1"/>
      <c r="AR360" s="1"/>
      <c r="AS360" s="1"/>
      <c r="AT360" s="1"/>
      <c r="AV360" s="1"/>
      <c r="BC360" s="1"/>
      <c r="BD360" s="1"/>
      <c r="BE360" s="1"/>
      <c r="BF360" s="1"/>
      <c r="BG360" s="1"/>
      <c r="BH360" s="1"/>
      <c r="BI360" s="1"/>
      <c r="BJ360" s="1"/>
      <c r="BK360" s="1"/>
      <c r="BL360" s="1"/>
      <c r="BM360" s="1"/>
      <c r="BN360" s="1"/>
      <c r="BO360" s="1"/>
      <c r="BP360" s="1"/>
      <c r="BQ360" s="1"/>
      <c r="BR360" s="1"/>
      <c r="BS360" s="1"/>
      <c r="BT360" s="1"/>
      <c r="BU360" s="1"/>
      <c r="BV360" s="1"/>
      <c r="BW360" s="1"/>
      <c r="BX360" s="1"/>
      <c r="BY360" s="1"/>
      <c r="BZ360" s="1"/>
      <c r="CA360" s="1"/>
      <c r="CM360"/>
      <c r="CN360"/>
      <c r="CO360"/>
      <c r="CP360"/>
      <c r="CQ360"/>
      <c r="CR360"/>
    </row>
    <row r="361" spans="33:96">
      <c r="AG361" s="1"/>
      <c r="AH361" s="1"/>
      <c r="AI361" s="1"/>
      <c r="AJ361" s="1"/>
      <c r="AR361" s="1"/>
      <c r="AS361" s="1"/>
      <c r="AT361" s="1"/>
      <c r="AV361" s="1"/>
      <c r="BC361" s="1"/>
      <c r="BD361" s="1"/>
      <c r="BE361" s="1"/>
      <c r="BF361" s="1"/>
      <c r="BG361" s="1"/>
      <c r="BH361" s="1"/>
      <c r="BI361" s="1"/>
      <c r="BJ361" s="1"/>
      <c r="BK361" s="1"/>
      <c r="BL361" s="1"/>
      <c r="BM361" s="1"/>
      <c r="BN361" s="1"/>
      <c r="BO361" s="1"/>
      <c r="BP361" s="1"/>
      <c r="BQ361" s="1"/>
      <c r="BR361" s="1"/>
      <c r="BS361" s="1"/>
      <c r="BT361" s="1"/>
      <c r="BU361" s="1"/>
      <c r="BV361" s="1"/>
      <c r="BW361" s="1"/>
      <c r="BX361" s="1"/>
      <c r="BY361" s="1"/>
      <c r="BZ361" s="1"/>
      <c r="CA361" s="1"/>
      <c r="CM361"/>
      <c r="CN361"/>
      <c r="CO361"/>
      <c r="CP361"/>
      <c r="CQ361"/>
      <c r="CR361"/>
    </row>
    <row r="362" spans="33:96">
      <c r="AG362" s="1"/>
      <c r="AH362" s="1"/>
      <c r="AI362" s="1"/>
      <c r="AJ362" s="1"/>
      <c r="AR362" s="1"/>
      <c r="AS362" s="1"/>
      <c r="AT362" s="1"/>
      <c r="AV362" s="1"/>
      <c r="BC362" s="1"/>
      <c r="BD362" s="1"/>
      <c r="BE362" s="1"/>
      <c r="BF362" s="1"/>
      <c r="BG362" s="1"/>
      <c r="BH362" s="1"/>
      <c r="BI362" s="1"/>
      <c r="BJ362" s="1"/>
      <c r="BK362" s="1"/>
      <c r="BL362" s="1"/>
      <c r="BM362" s="1"/>
      <c r="BN362" s="1"/>
      <c r="BO362" s="1"/>
      <c r="BP362" s="1"/>
      <c r="BQ362" s="1"/>
      <c r="BR362" s="1"/>
      <c r="BS362" s="1"/>
      <c r="BT362" s="1"/>
      <c r="BU362" s="1"/>
      <c r="BV362" s="1"/>
      <c r="BW362" s="1"/>
      <c r="BX362" s="1"/>
      <c r="BY362" s="1"/>
      <c r="BZ362" s="1"/>
      <c r="CA362" s="1"/>
      <c r="CM362"/>
      <c r="CN362"/>
      <c r="CO362"/>
      <c r="CP362"/>
      <c r="CQ362"/>
      <c r="CR362"/>
    </row>
    <row r="363" spans="33:96">
      <c r="AG363" s="1"/>
      <c r="AH363" s="1"/>
      <c r="AI363" s="1"/>
      <c r="AJ363" s="1"/>
      <c r="AR363" s="1"/>
      <c r="AS363" s="1"/>
      <c r="AT363" s="1"/>
      <c r="AV363" s="1"/>
      <c r="BC363" s="1"/>
      <c r="BD363" s="1"/>
      <c r="BE363" s="1"/>
      <c r="BF363" s="1"/>
      <c r="BG363" s="1"/>
      <c r="BH363" s="1"/>
      <c r="BI363" s="1"/>
      <c r="BJ363" s="1"/>
      <c r="BK363" s="1"/>
      <c r="BL363" s="1"/>
      <c r="BM363" s="1"/>
      <c r="BN363" s="1"/>
      <c r="BO363" s="1"/>
      <c r="BP363" s="1"/>
      <c r="BQ363" s="1"/>
      <c r="BR363" s="1"/>
      <c r="BS363" s="1"/>
      <c r="BT363" s="1"/>
      <c r="BU363" s="1"/>
      <c r="BV363" s="1"/>
      <c r="BW363" s="1"/>
      <c r="BX363" s="1"/>
      <c r="BY363" s="1"/>
      <c r="BZ363" s="1"/>
      <c r="CA363" s="1"/>
      <c r="CM363"/>
      <c r="CN363"/>
      <c r="CO363"/>
      <c r="CP363"/>
      <c r="CQ363"/>
      <c r="CR363"/>
    </row>
    <row r="364" spans="33:96">
      <c r="AG364" s="1"/>
      <c r="AH364" s="1"/>
      <c r="AI364" s="1"/>
      <c r="AJ364" s="1"/>
      <c r="AR364" s="1"/>
      <c r="AS364" s="1"/>
      <c r="AT364" s="1"/>
      <c r="AV364" s="1"/>
      <c r="BC364" s="1"/>
      <c r="BD364" s="1"/>
      <c r="BE364" s="1"/>
      <c r="BF364" s="1"/>
      <c r="BG364" s="1"/>
      <c r="BH364" s="1"/>
      <c r="BI364" s="1"/>
      <c r="BJ364" s="1"/>
      <c r="BK364" s="1"/>
      <c r="BL364" s="1"/>
      <c r="BM364" s="1"/>
      <c r="BN364" s="1"/>
      <c r="BO364" s="1"/>
      <c r="BP364" s="1"/>
      <c r="BQ364" s="1"/>
      <c r="BR364" s="1"/>
      <c r="BS364" s="1"/>
      <c r="BT364" s="1"/>
      <c r="BU364" s="1"/>
      <c r="BV364" s="1"/>
      <c r="BW364" s="1"/>
      <c r="BX364" s="1"/>
      <c r="BY364" s="1"/>
      <c r="BZ364" s="1"/>
      <c r="CA364" s="1"/>
      <c r="CM364"/>
      <c r="CN364"/>
      <c r="CO364"/>
      <c r="CP364"/>
      <c r="CQ364"/>
      <c r="CR364"/>
    </row>
    <row r="365" spans="33:96">
      <c r="AG365" s="1"/>
      <c r="AH365" s="1"/>
      <c r="AI365" s="1"/>
      <c r="AJ365" s="1"/>
      <c r="AR365" s="1"/>
      <c r="AS365" s="1"/>
      <c r="AT365" s="1"/>
      <c r="AV365" s="1"/>
      <c r="BC365" s="1"/>
      <c r="BD365" s="1"/>
      <c r="BE365" s="1"/>
      <c r="BF365" s="1"/>
      <c r="BG365" s="1"/>
      <c r="BH365" s="1"/>
      <c r="BI365" s="1"/>
      <c r="BJ365" s="1"/>
      <c r="BK365" s="1"/>
      <c r="BL365" s="1"/>
      <c r="BM365" s="1"/>
      <c r="BN365" s="1"/>
      <c r="BO365" s="1"/>
      <c r="BP365" s="1"/>
      <c r="BQ365" s="1"/>
      <c r="BR365" s="1"/>
      <c r="BS365" s="1"/>
      <c r="BT365" s="1"/>
      <c r="BU365" s="1"/>
      <c r="BV365" s="1"/>
      <c r="BW365" s="1"/>
      <c r="BX365" s="1"/>
      <c r="BY365" s="1"/>
      <c r="BZ365" s="1"/>
      <c r="CA365" s="1"/>
      <c r="CM365"/>
      <c r="CN365"/>
      <c r="CO365"/>
      <c r="CP365"/>
      <c r="CQ365"/>
      <c r="CR365"/>
    </row>
    <row r="366" spans="33:96">
      <c r="AG366" s="1"/>
      <c r="AH366" s="1"/>
      <c r="AI366" s="1"/>
      <c r="AJ366" s="1"/>
      <c r="AR366" s="1"/>
      <c r="AS366" s="1"/>
      <c r="AT366" s="1"/>
      <c r="AV366" s="1"/>
      <c r="BC366" s="1"/>
      <c r="BD366" s="1"/>
      <c r="BE366" s="1"/>
      <c r="BF366" s="1"/>
      <c r="BG366" s="1"/>
      <c r="BH366" s="1"/>
      <c r="BI366" s="1"/>
      <c r="BJ366" s="1"/>
      <c r="BK366" s="1"/>
      <c r="BL366" s="1"/>
      <c r="BM366" s="1"/>
      <c r="BN366" s="1"/>
      <c r="BO366" s="1"/>
      <c r="BP366" s="1"/>
      <c r="BQ366" s="1"/>
      <c r="BR366" s="1"/>
      <c r="BS366" s="1"/>
      <c r="BT366" s="1"/>
      <c r="BU366" s="1"/>
      <c r="BV366" s="1"/>
      <c r="BW366" s="1"/>
      <c r="BX366" s="1"/>
      <c r="BY366" s="1"/>
      <c r="BZ366" s="1"/>
      <c r="CA366" s="1"/>
      <c r="CM366"/>
      <c r="CN366"/>
      <c r="CO366"/>
      <c r="CP366"/>
      <c r="CQ366"/>
      <c r="CR366"/>
    </row>
    <row r="367" spans="33:96">
      <c r="AG367" s="1"/>
      <c r="AH367" s="1"/>
      <c r="AI367" s="1"/>
      <c r="AJ367" s="1"/>
      <c r="AR367" s="1"/>
      <c r="AS367" s="1"/>
      <c r="AT367" s="1"/>
      <c r="AV367" s="1"/>
      <c r="BC367" s="1"/>
      <c r="BD367" s="1"/>
      <c r="BE367" s="1"/>
      <c r="BF367" s="1"/>
      <c r="BG367" s="1"/>
      <c r="BH367" s="1"/>
      <c r="BI367" s="1"/>
      <c r="BJ367" s="1"/>
      <c r="BK367" s="1"/>
      <c r="BL367" s="1"/>
      <c r="BM367" s="1"/>
      <c r="BN367" s="1"/>
      <c r="BO367" s="1"/>
      <c r="BP367" s="1"/>
      <c r="BQ367" s="1"/>
      <c r="BR367" s="1"/>
      <c r="BS367" s="1"/>
      <c r="BT367" s="1"/>
      <c r="BU367" s="1"/>
      <c r="BV367" s="1"/>
      <c r="BW367" s="1"/>
      <c r="BX367" s="1"/>
      <c r="BY367" s="1"/>
      <c r="BZ367" s="1"/>
      <c r="CA367" s="1"/>
      <c r="CM367"/>
      <c r="CN367"/>
      <c r="CO367"/>
      <c r="CP367"/>
      <c r="CQ367"/>
      <c r="CR367"/>
    </row>
    <row r="368" spans="33:96">
      <c r="AG368" s="1"/>
      <c r="AH368" s="1"/>
      <c r="AI368" s="1"/>
      <c r="AJ368" s="1"/>
      <c r="AR368" s="1"/>
      <c r="AS368" s="1"/>
      <c r="AT368" s="1"/>
      <c r="AV368" s="1"/>
      <c r="BC368" s="1"/>
      <c r="BD368" s="1"/>
      <c r="BE368" s="1"/>
      <c r="BF368" s="1"/>
      <c r="BG368" s="1"/>
      <c r="BH368" s="1"/>
      <c r="BI368" s="1"/>
      <c r="BJ368" s="1"/>
      <c r="BK368" s="1"/>
      <c r="BL368" s="1"/>
      <c r="BM368" s="1"/>
      <c r="BN368" s="1"/>
      <c r="BO368" s="1"/>
      <c r="BP368" s="1"/>
      <c r="BQ368" s="1"/>
      <c r="BR368" s="1"/>
      <c r="BS368" s="1"/>
      <c r="BT368" s="1"/>
      <c r="BU368" s="1"/>
      <c r="BV368" s="1"/>
      <c r="BW368" s="1"/>
      <c r="BX368" s="1"/>
      <c r="BY368" s="1"/>
      <c r="BZ368" s="1"/>
      <c r="CA368" s="1"/>
      <c r="CM368"/>
      <c r="CN368"/>
      <c r="CO368"/>
      <c r="CP368"/>
      <c r="CQ368"/>
      <c r="CR368"/>
    </row>
    <row r="369" spans="33:96">
      <c r="AG369" s="1"/>
      <c r="AH369" s="1"/>
      <c r="AI369" s="1"/>
      <c r="AJ369" s="1"/>
      <c r="AR369" s="1"/>
      <c r="AS369" s="1"/>
      <c r="AT369" s="1"/>
      <c r="AV369" s="1"/>
      <c r="BC369" s="1"/>
      <c r="BD369" s="1"/>
      <c r="BE369" s="1"/>
      <c r="BF369" s="1"/>
      <c r="BG369" s="1"/>
      <c r="BH369" s="1"/>
      <c r="BI369" s="1"/>
      <c r="BJ369" s="1"/>
      <c r="BK369" s="1"/>
      <c r="BL369" s="1"/>
      <c r="BM369" s="1"/>
      <c r="BN369" s="1"/>
      <c r="BO369" s="1"/>
      <c r="BP369" s="1"/>
      <c r="BQ369" s="1"/>
      <c r="BR369" s="1"/>
      <c r="BS369" s="1"/>
      <c r="BT369" s="1"/>
      <c r="BU369" s="1"/>
      <c r="BV369" s="1"/>
      <c r="BW369" s="1"/>
      <c r="BX369" s="1"/>
      <c r="BY369" s="1"/>
      <c r="BZ369" s="1"/>
      <c r="CA369" s="1"/>
      <c r="CM369"/>
      <c r="CN369"/>
      <c r="CO369"/>
      <c r="CP369"/>
      <c r="CQ369"/>
      <c r="CR369"/>
    </row>
    <row r="370" spans="33:96">
      <c r="AG370" s="1"/>
      <c r="AH370" s="1"/>
      <c r="AI370" s="1"/>
      <c r="AJ370" s="1"/>
      <c r="AR370" s="1"/>
      <c r="AS370" s="1"/>
      <c r="AT370" s="1"/>
      <c r="AV370" s="1"/>
      <c r="BC370" s="1"/>
      <c r="BD370" s="1"/>
      <c r="BE370" s="1"/>
      <c r="BF370" s="1"/>
      <c r="BG370" s="1"/>
      <c r="BH370" s="1"/>
      <c r="BI370" s="1"/>
      <c r="BJ370" s="1"/>
      <c r="BK370" s="1"/>
      <c r="BL370" s="1"/>
      <c r="BM370" s="1"/>
      <c r="BN370" s="1"/>
      <c r="BO370" s="1"/>
      <c r="BP370" s="1"/>
      <c r="BQ370" s="1"/>
      <c r="BR370" s="1"/>
      <c r="BS370" s="1"/>
      <c r="BT370" s="1"/>
      <c r="BU370" s="1"/>
      <c r="BV370" s="1"/>
      <c r="BW370" s="1"/>
      <c r="BX370" s="1"/>
      <c r="BY370" s="1"/>
      <c r="BZ370" s="1"/>
      <c r="CA370" s="1"/>
      <c r="CM370"/>
      <c r="CN370"/>
      <c r="CO370"/>
      <c r="CP370"/>
      <c r="CQ370"/>
      <c r="CR370"/>
    </row>
    <row r="371" spans="33:96">
      <c r="AG371" s="1"/>
      <c r="AH371" s="1"/>
      <c r="AI371" s="1"/>
      <c r="AJ371" s="1"/>
      <c r="AR371" s="1"/>
      <c r="AS371" s="1"/>
      <c r="AT371" s="1"/>
      <c r="AV371" s="1"/>
      <c r="BC371" s="1"/>
      <c r="BD371" s="1"/>
      <c r="BE371" s="1"/>
      <c r="BF371" s="1"/>
      <c r="BG371" s="1"/>
      <c r="BH371" s="1"/>
      <c r="BI371" s="1"/>
      <c r="BJ371" s="1"/>
      <c r="BK371" s="1"/>
      <c r="BL371" s="1"/>
      <c r="BM371" s="1"/>
      <c r="BN371" s="1"/>
      <c r="BO371" s="1"/>
      <c r="BP371" s="1"/>
      <c r="BQ371" s="1"/>
      <c r="BR371" s="1"/>
      <c r="BS371" s="1"/>
      <c r="BT371" s="1"/>
      <c r="BU371" s="1"/>
      <c r="BV371" s="1"/>
      <c r="BW371" s="1"/>
      <c r="BX371" s="1"/>
      <c r="BY371" s="1"/>
      <c r="BZ371" s="1"/>
      <c r="CA371" s="1"/>
      <c r="CM371"/>
      <c r="CN371"/>
      <c r="CO371"/>
      <c r="CP371"/>
      <c r="CQ371"/>
      <c r="CR371"/>
    </row>
    <row r="372" spans="33:96">
      <c r="AG372" s="1"/>
      <c r="AH372" s="1"/>
      <c r="AI372" s="1"/>
      <c r="AJ372" s="1"/>
      <c r="AR372" s="1"/>
      <c r="AS372" s="1"/>
      <c r="AT372" s="1"/>
      <c r="AV372" s="1"/>
      <c r="BC372" s="1"/>
      <c r="BD372" s="1"/>
      <c r="BE372" s="1"/>
      <c r="BF372" s="1"/>
      <c r="BG372" s="1"/>
      <c r="BH372" s="1"/>
      <c r="BI372" s="1"/>
      <c r="BJ372" s="1"/>
      <c r="BK372" s="1"/>
      <c r="BL372" s="1"/>
      <c r="BM372" s="1"/>
      <c r="BN372" s="1"/>
      <c r="BO372" s="1"/>
      <c r="BP372" s="1"/>
      <c r="BQ372" s="1"/>
      <c r="BR372" s="1"/>
      <c r="BS372" s="1"/>
      <c r="BT372" s="1"/>
      <c r="BU372" s="1"/>
      <c r="BV372" s="1"/>
      <c r="BW372" s="1"/>
      <c r="BX372" s="1"/>
      <c r="BY372" s="1"/>
      <c r="BZ372" s="1"/>
      <c r="CA372" s="1"/>
      <c r="CM372"/>
      <c r="CN372"/>
      <c r="CO372"/>
      <c r="CP372"/>
      <c r="CQ372"/>
      <c r="CR372"/>
    </row>
    <row r="373" spans="33:96">
      <c r="AG373" s="1"/>
      <c r="AH373" s="1"/>
      <c r="AI373" s="1"/>
      <c r="AJ373" s="1"/>
      <c r="AR373" s="1"/>
      <c r="AS373" s="1"/>
      <c r="AT373" s="1"/>
      <c r="AV373" s="1"/>
      <c r="BC373" s="1"/>
      <c r="BD373" s="1"/>
      <c r="BE373" s="1"/>
      <c r="BF373" s="1"/>
      <c r="BG373" s="1"/>
      <c r="BH373" s="1"/>
      <c r="BI373" s="1"/>
      <c r="BJ373" s="1"/>
      <c r="BK373" s="1"/>
      <c r="BL373" s="1"/>
      <c r="BM373" s="1"/>
      <c r="BN373" s="1"/>
      <c r="BO373" s="1"/>
      <c r="BP373" s="1"/>
      <c r="BQ373" s="1"/>
      <c r="BR373" s="1"/>
      <c r="BS373" s="1"/>
      <c r="BT373" s="1"/>
      <c r="BU373" s="1"/>
      <c r="BV373" s="1"/>
      <c r="BW373" s="1"/>
      <c r="BX373" s="1"/>
      <c r="BY373" s="1"/>
      <c r="BZ373" s="1"/>
      <c r="CA373" s="1"/>
      <c r="CM373"/>
      <c r="CN373"/>
      <c r="CO373"/>
      <c r="CP373"/>
      <c r="CQ373"/>
      <c r="CR373"/>
    </row>
    <row r="374" spans="33:96">
      <c r="AG374" s="1"/>
      <c r="AH374" s="1"/>
      <c r="AI374" s="1"/>
      <c r="AJ374" s="1"/>
      <c r="AR374" s="1"/>
      <c r="AS374" s="1"/>
      <c r="AT374" s="1"/>
      <c r="AV374" s="1"/>
      <c r="BC374" s="1"/>
      <c r="BD374" s="1"/>
      <c r="BE374" s="1"/>
      <c r="BF374" s="1"/>
      <c r="BG374" s="1"/>
      <c r="BH374" s="1"/>
      <c r="BI374" s="1"/>
      <c r="BJ374" s="1"/>
      <c r="BK374" s="1"/>
      <c r="BL374" s="1"/>
      <c r="BM374" s="1"/>
      <c r="BN374" s="1"/>
      <c r="BO374" s="1"/>
      <c r="BP374" s="1"/>
      <c r="BQ374" s="1"/>
      <c r="BR374" s="1"/>
      <c r="BS374" s="1"/>
      <c r="BT374" s="1"/>
      <c r="BU374" s="1"/>
      <c r="BV374" s="1"/>
      <c r="BW374" s="1"/>
      <c r="BX374" s="1"/>
      <c r="BY374" s="1"/>
      <c r="BZ374" s="1"/>
      <c r="CA374" s="1"/>
      <c r="CM374"/>
      <c r="CN374"/>
      <c r="CO374"/>
      <c r="CP374"/>
      <c r="CQ374"/>
      <c r="CR374"/>
    </row>
    <row r="375" spans="33:96">
      <c r="AG375" s="1"/>
      <c r="AH375" s="1"/>
      <c r="AI375" s="1"/>
      <c r="AJ375" s="1"/>
      <c r="AR375" s="1"/>
      <c r="AS375" s="1"/>
      <c r="AT375" s="1"/>
      <c r="AV375" s="1"/>
      <c r="BC375" s="1"/>
      <c r="BD375" s="1"/>
      <c r="BE375" s="1"/>
      <c r="BF375" s="1"/>
      <c r="BG375" s="1"/>
      <c r="BH375" s="1"/>
      <c r="BI375" s="1"/>
      <c r="BJ375" s="1"/>
      <c r="BK375" s="1"/>
      <c r="BL375" s="1"/>
      <c r="BM375" s="1"/>
      <c r="BN375" s="1"/>
      <c r="BO375" s="1"/>
      <c r="BP375" s="1"/>
      <c r="BQ375" s="1"/>
      <c r="BR375" s="1"/>
      <c r="BS375" s="1"/>
      <c r="BT375" s="1"/>
      <c r="BU375" s="1"/>
      <c r="BV375" s="1"/>
      <c r="BW375" s="1"/>
      <c r="BX375" s="1"/>
      <c r="BY375" s="1"/>
      <c r="BZ375" s="1"/>
      <c r="CA375" s="1"/>
      <c r="CM375"/>
      <c r="CN375"/>
      <c r="CO375"/>
      <c r="CP375"/>
      <c r="CQ375"/>
      <c r="CR375"/>
    </row>
    <row r="376" spans="33:96">
      <c r="AG376" s="1"/>
      <c r="AH376" s="1"/>
      <c r="AI376" s="1"/>
      <c r="AJ376" s="1"/>
      <c r="AR376" s="1"/>
      <c r="AS376" s="1"/>
      <c r="AT376" s="1"/>
      <c r="AV376" s="1"/>
      <c r="BC376" s="1"/>
      <c r="BD376" s="1"/>
      <c r="BE376" s="1"/>
      <c r="BF376" s="1"/>
      <c r="BG376" s="1"/>
      <c r="BH376" s="1"/>
      <c r="BI376" s="1"/>
      <c r="BJ376" s="1"/>
      <c r="BK376" s="1"/>
      <c r="BL376" s="1"/>
      <c r="BM376" s="1"/>
      <c r="BN376" s="1"/>
      <c r="BO376" s="1"/>
      <c r="BP376" s="1"/>
      <c r="BQ376" s="1"/>
      <c r="BR376" s="1"/>
      <c r="BS376" s="1"/>
      <c r="BT376" s="1"/>
      <c r="BU376" s="1"/>
      <c r="BV376" s="1"/>
      <c r="BW376" s="1"/>
      <c r="BX376" s="1"/>
      <c r="BY376" s="1"/>
      <c r="BZ376" s="1"/>
      <c r="CA376" s="1"/>
      <c r="CM376"/>
      <c r="CN376"/>
      <c r="CO376"/>
      <c r="CP376"/>
      <c r="CQ376"/>
      <c r="CR376"/>
    </row>
    <row r="377" spans="33:96">
      <c r="AG377" s="1"/>
      <c r="AH377" s="1"/>
      <c r="AI377" s="1"/>
      <c r="AJ377" s="1"/>
      <c r="AR377" s="1"/>
      <c r="AS377" s="1"/>
      <c r="AT377" s="1"/>
      <c r="AV377" s="1"/>
      <c r="BC377" s="1"/>
      <c r="BD377" s="1"/>
      <c r="BE377" s="1"/>
      <c r="BF377" s="1"/>
      <c r="BG377" s="1"/>
      <c r="BH377" s="1"/>
      <c r="BI377" s="1"/>
      <c r="BJ377" s="1"/>
      <c r="BK377" s="1"/>
      <c r="BL377" s="1"/>
      <c r="BM377" s="1"/>
      <c r="BN377" s="1"/>
      <c r="BO377" s="1"/>
      <c r="BP377" s="1"/>
      <c r="BQ377" s="1"/>
      <c r="BR377" s="1"/>
      <c r="BS377" s="1"/>
      <c r="BT377" s="1"/>
      <c r="BU377" s="1"/>
      <c r="BV377" s="1"/>
      <c r="BW377" s="1"/>
      <c r="BX377" s="1"/>
      <c r="BY377" s="1"/>
      <c r="BZ377" s="1"/>
      <c r="CA377" s="1"/>
      <c r="CM377"/>
      <c r="CN377"/>
      <c r="CO377"/>
      <c r="CP377"/>
      <c r="CQ377"/>
      <c r="CR377"/>
    </row>
    <row r="378" spans="33:96">
      <c r="AG378" s="1"/>
      <c r="AH378" s="1"/>
      <c r="AI378" s="1"/>
      <c r="AJ378" s="1"/>
      <c r="AR378" s="1"/>
      <c r="AS378" s="1"/>
      <c r="AT378" s="1"/>
      <c r="AV378" s="1"/>
      <c r="BC378" s="1"/>
      <c r="BD378" s="1"/>
      <c r="BE378" s="1"/>
      <c r="BF378" s="1"/>
      <c r="BG378" s="1"/>
      <c r="BH378" s="1"/>
      <c r="BI378" s="1"/>
      <c r="BJ378" s="1"/>
      <c r="BK378" s="1"/>
      <c r="BL378" s="1"/>
      <c r="BM378" s="1"/>
      <c r="BN378" s="1"/>
      <c r="BO378" s="1"/>
      <c r="BP378" s="1"/>
      <c r="BQ378" s="1"/>
      <c r="BR378" s="1"/>
      <c r="BS378" s="1"/>
      <c r="BT378" s="1"/>
      <c r="BU378" s="1"/>
      <c r="BV378" s="1"/>
      <c r="BW378" s="1"/>
      <c r="BX378" s="1"/>
      <c r="BY378" s="1"/>
      <c r="BZ378" s="1"/>
      <c r="CA378" s="1"/>
      <c r="CM378"/>
      <c r="CN378"/>
      <c r="CO378"/>
      <c r="CP378"/>
      <c r="CQ378"/>
      <c r="CR378"/>
    </row>
    <row r="379" spans="33:96">
      <c r="AG379" s="1"/>
      <c r="AH379" s="1"/>
      <c r="AI379" s="1"/>
      <c r="AJ379" s="1"/>
      <c r="AR379" s="1"/>
      <c r="AS379" s="1"/>
      <c r="AT379" s="1"/>
      <c r="AV379" s="1"/>
      <c r="BC379" s="1"/>
      <c r="BD379" s="1"/>
      <c r="BE379" s="1"/>
      <c r="BF379" s="1"/>
      <c r="BG379" s="1"/>
      <c r="BH379" s="1"/>
      <c r="BI379" s="1"/>
      <c r="BJ379" s="1"/>
      <c r="BK379" s="1"/>
      <c r="BL379" s="1"/>
      <c r="BM379" s="1"/>
      <c r="BN379" s="1"/>
      <c r="BO379" s="1"/>
      <c r="BP379" s="1"/>
      <c r="BQ379" s="1"/>
      <c r="BR379" s="1"/>
      <c r="BS379" s="1"/>
      <c r="BT379" s="1"/>
      <c r="BU379" s="1"/>
      <c r="BV379" s="1"/>
      <c r="BW379" s="1"/>
      <c r="BX379" s="1"/>
      <c r="BY379" s="1"/>
      <c r="BZ379" s="1"/>
      <c r="CA379" s="1"/>
      <c r="CM379"/>
      <c r="CN379"/>
      <c r="CO379"/>
      <c r="CP379"/>
      <c r="CQ379"/>
      <c r="CR379"/>
    </row>
    <row r="380" spans="33:96">
      <c r="AG380" s="1"/>
      <c r="AH380" s="1"/>
      <c r="AI380" s="1"/>
      <c r="AJ380" s="1"/>
      <c r="AR380" s="1"/>
      <c r="AS380" s="1"/>
      <c r="AT380" s="1"/>
      <c r="AV380" s="1"/>
      <c r="BC380" s="1"/>
      <c r="BD380" s="1"/>
      <c r="BE380" s="1"/>
      <c r="BF380" s="1"/>
      <c r="BG380" s="1"/>
      <c r="BH380" s="1"/>
      <c r="BI380" s="1"/>
      <c r="BJ380" s="1"/>
      <c r="BK380" s="1"/>
      <c r="BL380" s="1"/>
      <c r="BM380" s="1"/>
      <c r="BN380" s="1"/>
      <c r="BO380" s="1"/>
      <c r="BP380" s="1"/>
      <c r="BQ380" s="1"/>
      <c r="BR380" s="1"/>
      <c r="BS380" s="1"/>
      <c r="BT380" s="1"/>
      <c r="BU380" s="1"/>
      <c r="BV380" s="1"/>
      <c r="BW380" s="1"/>
      <c r="BX380" s="1"/>
      <c r="BY380" s="1"/>
      <c r="BZ380" s="1"/>
      <c r="CA380" s="1"/>
      <c r="CM380"/>
      <c r="CN380"/>
      <c r="CO380"/>
      <c r="CP380"/>
      <c r="CQ380"/>
      <c r="CR380"/>
    </row>
    <row r="381" spans="33:96">
      <c r="AG381" s="1"/>
      <c r="AH381" s="1"/>
      <c r="AI381" s="1"/>
      <c r="AJ381" s="1"/>
      <c r="AR381" s="1"/>
      <c r="AS381" s="1"/>
      <c r="AT381" s="1"/>
      <c r="AV381" s="1"/>
      <c r="BC381" s="1"/>
      <c r="BD381" s="1"/>
      <c r="BE381" s="1"/>
      <c r="BF381" s="1"/>
      <c r="BG381" s="1"/>
      <c r="BH381" s="1"/>
      <c r="BI381" s="1"/>
      <c r="BJ381" s="1"/>
      <c r="BK381" s="1"/>
      <c r="BL381" s="1"/>
      <c r="BM381" s="1"/>
      <c r="BN381" s="1"/>
      <c r="BO381" s="1"/>
      <c r="BP381" s="1"/>
      <c r="BQ381" s="1"/>
      <c r="BR381" s="1"/>
      <c r="BS381" s="1"/>
      <c r="BT381" s="1"/>
      <c r="BU381" s="1"/>
      <c r="BV381" s="1"/>
      <c r="BW381" s="1"/>
      <c r="BX381" s="1"/>
      <c r="BY381" s="1"/>
      <c r="BZ381" s="1"/>
      <c r="CA381" s="1"/>
      <c r="CM381"/>
      <c r="CN381"/>
      <c r="CO381"/>
      <c r="CP381"/>
      <c r="CQ381"/>
      <c r="CR381"/>
    </row>
    <row r="382" spans="33:96">
      <c r="AG382" s="1"/>
      <c r="AH382" s="1"/>
      <c r="AI382" s="1"/>
      <c r="AJ382" s="1"/>
      <c r="AR382" s="1"/>
      <c r="AS382" s="1"/>
      <c r="AT382" s="1"/>
      <c r="AV382" s="1"/>
      <c r="BC382" s="1"/>
      <c r="BD382" s="1"/>
      <c r="BE382" s="1"/>
      <c r="BF382" s="1"/>
      <c r="BG382" s="1"/>
      <c r="BH382" s="1"/>
      <c r="BI382" s="1"/>
      <c r="BJ382" s="1"/>
      <c r="BK382" s="1"/>
      <c r="BL382" s="1"/>
      <c r="BM382" s="1"/>
      <c r="BN382" s="1"/>
      <c r="BO382" s="1"/>
      <c r="BP382" s="1"/>
      <c r="BQ382" s="1"/>
      <c r="BR382" s="1"/>
      <c r="BS382" s="1"/>
      <c r="BT382" s="1"/>
      <c r="BU382" s="1"/>
      <c r="BV382" s="1"/>
      <c r="BW382" s="1"/>
      <c r="BX382" s="1"/>
      <c r="BY382" s="1"/>
      <c r="BZ382" s="1"/>
      <c r="CA382" s="1"/>
      <c r="CM382"/>
      <c r="CN382"/>
      <c r="CO382"/>
      <c r="CP382"/>
      <c r="CQ382"/>
      <c r="CR382"/>
    </row>
    <row r="383" spans="33:96">
      <c r="AG383" s="1"/>
      <c r="AH383" s="1"/>
      <c r="AI383" s="1"/>
      <c r="AJ383" s="1"/>
      <c r="AR383" s="1"/>
      <c r="AS383" s="1"/>
      <c r="AT383" s="1"/>
      <c r="AV383" s="1"/>
      <c r="BC383" s="1"/>
      <c r="BD383" s="1"/>
      <c r="BE383" s="1"/>
      <c r="BF383" s="1"/>
      <c r="BG383" s="1"/>
      <c r="BH383" s="1"/>
      <c r="BI383" s="1"/>
      <c r="BJ383" s="1"/>
      <c r="BK383" s="1"/>
      <c r="BL383" s="1"/>
      <c r="BM383" s="1"/>
      <c r="BN383" s="1"/>
      <c r="BO383" s="1"/>
      <c r="BP383" s="1"/>
      <c r="BQ383" s="1"/>
      <c r="BR383" s="1"/>
      <c r="BS383" s="1"/>
      <c r="BT383" s="1"/>
      <c r="BU383" s="1"/>
      <c r="BV383" s="1"/>
      <c r="BW383" s="1"/>
      <c r="BX383" s="1"/>
      <c r="BY383" s="1"/>
      <c r="BZ383" s="1"/>
      <c r="CA383" s="1"/>
      <c r="CM383"/>
      <c r="CN383"/>
      <c r="CO383"/>
      <c r="CP383"/>
      <c r="CQ383"/>
      <c r="CR383"/>
    </row>
    <row r="384" spans="33:96">
      <c r="AG384" s="1"/>
      <c r="AH384" s="1"/>
      <c r="AI384" s="1"/>
      <c r="AJ384" s="1"/>
      <c r="AR384" s="1"/>
      <c r="AS384" s="1"/>
      <c r="AT384" s="1"/>
      <c r="AV384" s="1"/>
      <c r="BC384" s="1"/>
      <c r="BD384" s="1"/>
      <c r="BE384" s="1"/>
      <c r="BF384" s="1"/>
      <c r="BG384" s="1"/>
      <c r="BH384" s="1"/>
      <c r="BI384" s="1"/>
      <c r="BJ384" s="1"/>
      <c r="BK384" s="1"/>
      <c r="BL384" s="1"/>
      <c r="BM384" s="1"/>
      <c r="BN384" s="1"/>
      <c r="BO384" s="1"/>
      <c r="BP384" s="1"/>
      <c r="BQ384" s="1"/>
      <c r="BR384" s="1"/>
      <c r="BS384" s="1"/>
      <c r="BT384" s="1"/>
      <c r="BU384" s="1"/>
      <c r="BV384" s="1"/>
      <c r="BW384" s="1"/>
      <c r="BX384" s="1"/>
      <c r="BY384" s="1"/>
      <c r="BZ384" s="1"/>
      <c r="CA384" s="1"/>
      <c r="CM384"/>
      <c r="CN384"/>
      <c r="CO384"/>
      <c r="CP384"/>
      <c r="CQ384"/>
      <c r="CR384"/>
    </row>
    <row r="385" spans="33:96">
      <c r="AG385" s="1"/>
      <c r="AH385" s="1"/>
      <c r="AI385" s="1"/>
      <c r="AJ385" s="1"/>
      <c r="AR385" s="1"/>
      <c r="AS385" s="1"/>
      <c r="AT385" s="1"/>
      <c r="AV385" s="1"/>
      <c r="BC385" s="1"/>
      <c r="BD385" s="1"/>
      <c r="BE385" s="1"/>
      <c r="BF385" s="1"/>
      <c r="BG385" s="1"/>
      <c r="BH385" s="1"/>
      <c r="BI385" s="1"/>
      <c r="BJ385" s="1"/>
      <c r="BK385" s="1"/>
      <c r="BL385" s="1"/>
      <c r="BM385" s="1"/>
      <c r="BN385" s="1"/>
      <c r="BO385" s="1"/>
      <c r="BP385" s="1"/>
      <c r="BQ385" s="1"/>
      <c r="BR385" s="1"/>
      <c r="BS385" s="1"/>
      <c r="BT385" s="1"/>
      <c r="BU385" s="1"/>
      <c r="BV385" s="1"/>
      <c r="BW385" s="1"/>
      <c r="BX385" s="1"/>
      <c r="BY385" s="1"/>
      <c r="BZ385" s="1"/>
      <c r="CA385" s="1"/>
      <c r="CM385"/>
      <c r="CN385"/>
      <c r="CO385"/>
      <c r="CP385"/>
      <c r="CQ385"/>
      <c r="CR385"/>
    </row>
    <row r="386" spans="33:96">
      <c r="AG386" s="1"/>
      <c r="AH386" s="1"/>
      <c r="AI386" s="1"/>
      <c r="AJ386" s="1"/>
      <c r="AR386" s="1"/>
      <c r="AS386" s="1"/>
      <c r="AT386" s="1"/>
      <c r="AV386" s="1"/>
      <c r="BC386" s="1"/>
      <c r="BD386" s="1"/>
      <c r="BE386" s="1"/>
      <c r="BF386" s="1"/>
      <c r="BG386" s="1"/>
      <c r="BH386" s="1"/>
      <c r="BI386" s="1"/>
      <c r="BJ386" s="1"/>
      <c r="BK386" s="1"/>
      <c r="BL386" s="1"/>
      <c r="BM386" s="1"/>
      <c r="BN386" s="1"/>
      <c r="BO386" s="1"/>
      <c r="BP386" s="1"/>
      <c r="BQ386" s="1"/>
      <c r="BR386" s="1"/>
      <c r="BS386" s="1"/>
      <c r="BT386" s="1"/>
      <c r="BU386" s="1"/>
      <c r="BV386" s="1"/>
      <c r="BW386" s="1"/>
      <c r="BX386" s="1"/>
      <c r="BY386" s="1"/>
      <c r="BZ386" s="1"/>
      <c r="CA386" s="1"/>
      <c r="CM386"/>
      <c r="CN386"/>
      <c r="CO386"/>
      <c r="CP386"/>
      <c r="CQ386"/>
      <c r="CR386"/>
    </row>
    <row r="387" spans="33:96">
      <c r="AG387" s="1"/>
      <c r="AH387" s="1"/>
      <c r="AI387" s="1"/>
      <c r="AJ387" s="1"/>
      <c r="AR387" s="1"/>
      <c r="AS387" s="1"/>
      <c r="AT387" s="1"/>
      <c r="AV387" s="1"/>
      <c r="BC387" s="1"/>
      <c r="BD387" s="1"/>
      <c r="BE387" s="1"/>
      <c r="BF387" s="1"/>
      <c r="BG387" s="1"/>
      <c r="BH387" s="1"/>
      <c r="BI387" s="1"/>
      <c r="BJ387" s="1"/>
      <c r="BK387" s="1"/>
      <c r="BL387" s="1"/>
      <c r="BM387" s="1"/>
      <c r="BN387" s="1"/>
      <c r="BO387" s="1"/>
      <c r="BP387" s="1"/>
      <c r="BQ387" s="1"/>
      <c r="BR387" s="1"/>
      <c r="BS387" s="1"/>
      <c r="BT387" s="1"/>
      <c r="BU387" s="1"/>
      <c r="BV387" s="1"/>
      <c r="BW387" s="1"/>
      <c r="BX387" s="1"/>
      <c r="BY387" s="1"/>
      <c r="BZ387" s="1"/>
      <c r="CA387" s="1"/>
      <c r="CM387"/>
      <c r="CN387"/>
      <c r="CO387"/>
      <c r="CP387"/>
      <c r="CQ387"/>
      <c r="CR387"/>
    </row>
    <row r="388" spans="33:96">
      <c r="AG388" s="1"/>
      <c r="AH388" s="1"/>
      <c r="AI388" s="1"/>
      <c r="AJ388" s="1"/>
      <c r="AR388" s="1"/>
      <c r="AS388" s="1"/>
      <c r="AT388" s="1"/>
      <c r="AV388" s="1"/>
      <c r="BC388" s="1"/>
      <c r="BD388" s="1"/>
      <c r="BE388" s="1"/>
      <c r="BF388" s="1"/>
      <c r="BG388" s="1"/>
      <c r="BH388" s="1"/>
      <c r="BI388" s="1"/>
      <c r="BJ388" s="1"/>
      <c r="BK388" s="1"/>
      <c r="BL388" s="1"/>
      <c r="BM388" s="1"/>
      <c r="BN388" s="1"/>
      <c r="BO388" s="1"/>
      <c r="BP388" s="1"/>
      <c r="BQ388" s="1"/>
      <c r="BR388" s="1"/>
      <c r="BS388" s="1"/>
      <c r="BT388" s="1"/>
      <c r="BU388" s="1"/>
      <c r="BV388" s="1"/>
      <c r="BW388" s="1"/>
      <c r="BX388" s="1"/>
      <c r="BY388" s="1"/>
      <c r="BZ388" s="1"/>
      <c r="CA388" s="1"/>
      <c r="CM388"/>
      <c r="CN388"/>
      <c r="CO388"/>
      <c r="CP388"/>
      <c r="CQ388"/>
      <c r="CR388"/>
    </row>
    <row r="389" spans="33:96">
      <c r="AG389" s="1"/>
      <c r="AH389" s="1"/>
      <c r="AI389" s="1"/>
      <c r="AJ389" s="1"/>
      <c r="AR389" s="1"/>
      <c r="AS389" s="1"/>
      <c r="AT389" s="1"/>
      <c r="AV389" s="1"/>
      <c r="BC389" s="1"/>
      <c r="BD389" s="1"/>
      <c r="BE389" s="1"/>
      <c r="BF389" s="1"/>
      <c r="BG389" s="1"/>
      <c r="BH389" s="1"/>
      <c r="BI389" s="1"/>
      <c r="BJ389" s="1"/>
      <c r="BK389" s="1"/>
      <c r="BL389" s="1"/>
      <c r="BM389" s="1"/>
      <c r="BN389" s="1"/>
      <c r="BO389" s="1"/>
      <c r="BP389" s="1"/>
      <c r="BQ389" s="1"/>
      <c r="BR389" s="1"/>
      <c r="BS389" s="1"/>
      <c r="BT389" s="1"/>
      <c r="BU389" s="1"/>
      <c r="BV389" s="1"/>
      <c r="BW389" s="1"/>
      <c r="BX389" s="1"/>
      <c r="BY389" s="1"/>
      <c r="BZ389" s="1"/>
      <c r="CA389" s="1"/>
      <c r="CM389"/>
      <c r="CN389"/>
      <c r="CO389"/>
      <c r="CP389"/>
      <c r="CQ389"/>
      <c r="CR389"/>
    </row>
    <row r="390" spans="33:96">
      <c r="AG390" s="1"/>
      <c r="AH390" s="1"/>
      <c r="AI390" s="1"/>
      <c r="AJ390" s="1"/>
      <c r="AR390" s="1"/>
      <c r="AS390" s="1"/>
      <c r="AT390" s="1"/>
      <c r="AV390" s="1"/>
      <c r="BC390" s="1"/>
      <c r="BD390" s="1"/>
      <c r="BE390" s="1"/>
      <c r="BF390" s="1"/>
      <c r="BG390" s="1"/>
      <c r="BH390" s="1"/>
      <c r="BI390" s="1"/>
      <c r="BJ390" s="1"/>
      <c r="BK390" s="1"/>
      <c r="BL390" s="1"/>
      <c r="BM390" s="1"/>
      <c r="BN390" s="1"/>
      <c r="BO390" s="1"/>
      <c r="BP390" s="1"/>
      <c r="BQ390" s="1"/>
      <c r="BR390" s="1"/>
      <c r="BS390" s="1"/>
      <c r="BT390" s="1"/>
      <c r="BU390" s="1"/>
      <c r="BV390" s="1"/>
      <c r="BW390" s="1"/>
      <c r="BX390" s="1"/>
      <c r="BY390" s="1"/>
      <c r="BZ390" s="1"/>
      <c r="CA390" s="1"/>
      <c r="CM390"/>
      <c r="CN390"/>
      <c r="CO390"/>
      <c r="CP390"/>
      <c r="CQ390"/>
      <c r="CR390"/>
    </row>
    <row r="391" spans="33:96">
      <c r="AG391" s="1"/>
      <c r="AH391" s="1"/>
      <c r="AI391" s="1"/>
      <c r="AJ391" s="1"/>
      <c r="AR391" s="1"/>
      <c r="AS391" s="1"/>
      <c r="AT391" s="1"/>
      <c r="AV391" s="1"/>
      <c r="BC391" s="1"/>
      <c r="BD391" s="1"/>
      <c r="BE391" s="1"/>
      <c r="BF391" s="1"/>
      <c r="BG391" s="1"/>
      <c r="BH391" s="1"/>
      <c r="BI391" s="1"/>
      <c r="BJ391" s="1"/>
      <c r="BK391" s="1"/>
      <c r="BL391" s="1"/>
      <c r="BM391" s="1"/>
      <c r="BN391" s="1"/>
      <c r="BO391" s="1"/>
      <c r="BP391" s="1"/>
      <c r="BQ391" s="1"/>
      <c r="BR391" s="1"/>
      <c r="BS391" s="1"/>
      <c r="BT391" s="1"/>
      <c r="BU391" s="1"/>
      <c r="BV391" s="1"/>
      <c r="BW391" s="1"/>
      <c r="BX391" s="1"/>
      <c r="BY391" s="1"/>
      <c r="BZ391" s="1"/>
      <c r="CA391" s="1"/>
      <c r="CM391"/>
      <c r="CN391"/>
      <c r="CO391"/>
      <c r="CP391"/>
      <c r="CQ391"/>
      <c r="CR391"/>
    </row>
    <row r="392" spans="33:96">
      <c r="AG392" s="1"/>
      <c r="AH392" s="1"/>
      <c r="AI392" s="1"/>
      <c r="AJ392" s="1"/>
      <c r="AR392" s="1"/>
      <c r="AS392" s="1"/>
      <c r="AT392" s="1"/>
      <c r="AV392" s="1"/>
      <c r="BC392" s="1"/>
      <c r="BD392" s="1"/>
      <c r="BE392" s="1"/>
      <c r="BF392" s="1"/>
      <c r="BG392" s="1"/>
      <c r="BH392" s="1"/>
      <c r="BI392" s="1"/>
      <c r="BJ392" s="1"/>
      <c r="BK392" s="1"/>
      <c r="BL392" s="1"/>
      <c r="BM392" s="1"/>
      <c r="BN392" s="1"/>
      <c r="BO392" s="1"/>
      <c r="BP392" s="1"/>
      <c r="BQ392" s="1"/>
      <c r="BR392" s="1"/>
      <c r="BS392" s="1"/>
      <c r="BT392" s="1"/>
      <c r="BU392" s="1"/>
      <c r="BV392" s="1"/>
      <c r="BW392" s="1"/>
      <c r="BX392" s="1"/>
      <c r="BY392" s="1"/>
      <c r="BZ392" s="1"/>
      <c r="CA392" s="1"/>
      <c r="CM392"/>
      <c r="CN392"/>
      <c r="CO392"/>
      <c r="CP392"/>
      <c r="CQ392"/>
      <c r="CR392"/>
    </row>
    <row r="393" spans="33:96">
      <c r="AG393" s="1"/>
      <c r="AH393" s="1"/>
      <c r="AI393" s="1"/>
      <c r="AJ393" s="1"/>
      <c r="AR393" s="1"/>
      <c r="AS393" s="1"/>
      <c r="AT393" s="1"/>
      <c r="AV393" s="1"/>
      <c r="BC393" s="1"/>
      <c r="BD393" s="1"/>
      <c r="BE393" s="1"/>
      <c r="BF393" s="1"/>
      <c r="BG393" s="1"/>
      <c r="BH393" s="1"/>
      <c r="BI393" s="1"/>
      <c r="BJ393" s="1"/>
      <c r="BK393" s="1"/>
      <c r="BL393" s="1"/>
      <c r="BM393" s="1"/>
      <c r="BN393" s="1"/>
      <c r="BO393" s="1"/>
      <c r="BP393" s="1"/>
      <c r="BQ393" s="1"/>
      <c r="BR393" s="1"/>
      <c r="BS393" s="1"/>
      <c r="BT393" s="1"/>
      <c r="BU393" s="1"/>
      <c r="BV393" s="1"/>
      <c r="BW393" s="1"/>
      <c r="BX393" s="1"/>
      <c r="BY393" s="1"/>
      <c r="BZ393" s="1"/>
      <c r="CA393" s="1"/>
      <c r="CM393"/>
      <c r="CN393"/>
      <c r="CO393"/>
      <c r="CP393"/>
      <c r="CQ393"/>
      <c r="CR393"/>
    </row>
    <row r="394" spans="33:96">
      <c r="AG394" s="1"/>
      <c r="AH394" s="1"/>
      <c r="AI394" s="1"/>
      <c r="AJ394" s="1"/>
      <c r="AR394" s="1"/>
      <c r="AS394" s="1"/>
      <c r="AT394" s="1"/>
      <c r="AV394" s="1"/>
      <c r="BC394" s="1"/>
      <c r="BD394" s="1"/>
      <c r="BE394" s="1"/>
      <c r="BF394" s="1"/>
      <c r="BG394" s="1"/>
      <c r="BH394" s="1"/>
      <c r="BI394" s="1"/>
      <c r="BJ394" s="1"/>
      <c r="BK394" s="1"/>
      <c r="BL394" s="1"/>
      <c r="BM394" s="1"/>
      <c r="BN394" s="1"/>
      <c r="BO394" s="1"/>
      <c r="BP394" s="1"/>
      <c r="BQ394" s="1"/>
      <c r="BR394" s="1"/>
      <c r="BS394" s="1"/>
      <c r="BT394" s="1"/>
      <c r="BU394" s="1"/>
      <c r="BV394" s="1"/>
      <c r="BW394" s="1"/>
      <c r="BX394" s="1"/>
      <c r="BY394" s="1"/>
      <c r="BZ394" s="1"/>
      <c r="CA394" s="1"/>
      <c r="CM394"/>
      <c r="CN394"/>
      <c r="CO394"/>
      <c r="CP394"/>
      <c r="CQ394"/>
      <c r="CR394"/>
    </row>
    <row r="395" spans="33:96">
      <c r="AG395" s="1"/>
      <c r="AH395" s="1"/>
      <c r="AI395" s="1"/>
      <c r="AJ395" s="1"/>
      <c r="AR395" s="1"/>
      <c r="AS395" s="1"/>
      <c r="AT395" s="1"/>
      <c r="AV395" s="1"/>
      <c r="BC395" s="1"/>
      <c r="BD395" s="1"/>
      <c r="BE395" s="1"/>
      <c r="BF395" s="1"/>
      <c r="BG395" s="1"/>
      <c r="BH395" s="1"/>
      <c r="BI395" s="1"/>
      <c r="BJ395" s="1"/>
      <c r="BK395" s="1"/>
      <c r="BL395" s="1"/>
      <c r="BM395" s="1"/>
      <c r="BN395" s="1"/>
      <c r="BO395" s="1"/>
      <c r="BP395" s="1"/>
      <c r="BQ395" s="1"/>
      <c r="BR395" s="1"/>
      <c r="BS395" s="1"/>
      <c r="BT395" s="1"/>
      <c r="BU395" s="1"/>
      <c r="BV395" s="1"/>
      <c r="BW395" s="1"/>
      <c r="BX395" s="1"/>
      <c r="BY395" s="1"/>
      <c r="BZ395" s="1"/>
      <c r="CA395" s="1"/>
      <c r="CM395"/>
      <c r="CN395"/>
      <c r="CO395"/>
      <c r="CP395"/>
      <c r="CQ395"/>
      <c r="CR395"/>
    </row>
    <row r="396" spans="33:96">
      <c r="AG396" s="1"/>
      <c r="AH396" s="1"/>
      <c r="AI396" s="1"/>
      <c r="AJ396" s="1"/>
      <c r="AR396" s="1"/>
      <c r="AS396" s="1"/>
      <c r="AT396" s="1"/>
      <c r="AV396" s="1"/>
      <c r="BC396" s="1"/>
      <c r="BD396" s="1"/>
      <c r="BE396" s="1"/>
      <c r="BF396" s="1"/>
      <c r="BG396" s="1"/>
      <c r="BH396" s="1"/>
      <c r="BI396" s="1"/>
      <c r="BJ396" s="1"/>
      <c r="BK396" s="1"/>
      <c r="BL396" s="1"/>
      <c r="BM396" s="1"/>
      <c r="BN396" s="1"/>
      <c r="BO396" s="1"/>
      <c r="BP396" s="1"/>
      <c r="BQ396" s="1"/>
      <c r="BR396" s="1"/>
      <c r="BS396" s="1"/>
      <c r="BT396" s="1"/>
      <c r="BU396" s="1"/>
      <c r="BV396" s="1"/>
      <c r="BW396" s="1"/>
      <c r="BX396" s="1"/>
      <c r="BY396" s="1"/>
      <c r="BZ396" s="1"/>
      <c r="CA396" s="1"/>
      <c r="CM396"/>
      <c r="CN396"/>
      <c r="CO396"/>
      <c r="CP396"/>
      <c r="CQ396"/>
      <c r="CR396"/>
    </row>
    <row r="397" spans="33:96">
      <c r="AG397" s="1"/>
      <c r="AH397" s="1"/>
      <c r="AI397" s="1"/>
      <c r="AJ397" s="1"/>
      <c r="AR397" s="1"/>
      <c r="AS397" s="1"/>
      <c r="AT397" s="1"/>
      <c r="AV397" s="1"/>
      <c r="BC397" s="1"/>
      <c r="BD397" s="1"/>
      <c r="BE397" s="1"/>
      <c r="BF397" s="1"/>
      <c r="BG397" s="1"/>
      <c r="BH397" s="1"/>
      <c r="BI397" s="1"/>
      <c r="BJ397" s="1"/>
      <c r="BK397" s="1"/>
      <c r="BL397" s="1"/>
      <c r="BM397" s="1"/>
      <c r="BN397" s="1"/>
      <c r="BO397" s="1"/>
      <c r="BP397" s="1"/>
      <c r="BQ397" s="1"/>
      <c r="BR397" s="1"/>
      <c r="BS397" s="1"/>
      <c r="BT397" s="1"/>
      <c r="BU397" s="1"/>
      <c r="BV397" s="1"/>
      <c r="BW397" s="1"/>
      <c r="BX397" s="1"/>
      <c r="BY397" s="1"/>
      <c r="BZ397" s="1"/>
      <c r="CA397" s="1"/>
      <c r="CM397"/>
      <c r="CN397"/>
      <c r="CO397"/>
      <c r="CP397"/>
      <c r="CQ397"/>
      <c r="CR397"/>
    </row>
    <row r="398" spans="33:96">
      <c r="AG398" s="1"/>
      <c r="AH398" s="1"/>
      <c r="AI398" s="1"/>
      <c r="AJ398" s="1"/>
      <c r="AR398" s="1"/>
      <c r="AS398" s="1"/>
      <c r="AT398" s="1"/>
      <c r="AV398" s="1"/>
      <c r="BC398" s="1"/>
      <c r="BD398" s="1"/>
      <c r="BE398" s="1"/>
      <c r="BF398" s="1"/>
      <c r="BG398" s="1"/>
      <c r="BH398" s="1"/>
      <c r="BI398" s="1"/>
      <c r="BJ398" s="1"/>
      <c r="BK398" s="1"/>
      <c r="BL398" s="1"/>
      <c r="BM398" s="1"/>
      <c r="BN398" s="1"/>
      <c r="BO398" s="1"/>
      <c r="BP398" s="1"/>
      <c r="BQ398" s="1"/>
      <c r="BR398" s="1"/>
      <c r="BS398" s="1"/>
      <c r="BT398" s="1"/>
      <c r="BU398" s="1"/>
      <c r="BV398" s="1"/>
      <c r="BW398" s="1"/>
      <c r="BX398" s="1"/>
      <c r="BY398" s="1"/>
      <c r="BZ398" s="1"/>
      <c r="CA398" s="1"/>
      <c r="CM398"/>
      <c r="CN398"/>
      <c r="CO398"/>
      <c r="CP398"/>
      <c r="CQ398"/>
      <c r="CR398"/>
    </row>
    <row r="399" spans="33:96">
      <c r="AG399" s="1"/>
      <c r="AH399" s="1"/>
      <c r="AI399" s="1"/>
      <c r="AJ399" s="1"/>
      <c r="AR399" s="1"/>
      <c r="AS399" s="1"/>
      <c r="AT399" s="1"/>
      <c r="AV399" s="1"/>
      <c r="BC399" s="1"/>
      <c r="BD399" s="1"/>
      <c r="BE399" s="1"/>
      <c r="BF399" s="1"/>
      <c r="BG399" s="1"/>
      <c r="BH399" s="1"/>
      <c r="BI399" s="1"/>
      <c r="BJ399" s="1"/>
      <c r="BK399" s="1"/>
      <c r="BL399" s="1"/>
      <c r="BM399" s="1"/>
      <c r="BN399" s="1"/>
      <c r="BO399" s="1"/>
      <c r="BP399" s="1"/>
      <c r="BQ399" s="1"/>
      <c r="BR399" s="1"/>
      <c r="BS399" s="1"/>
      <c r="BT399" s="1"/>
      <c r="BU399" s="1"/>
      <c r="BV399" s="1"/>
      <c r="BW399" s="1"/>
      <c r="BX399" s="1"/>
      <c r="BY399" s="1"/>
      <c r="BZ399" s="1"/>
      <c r="CA399" s="1"/>
      <c r="CM399"/>
      <c r="CN399"/>
      <c r="CO399"/>
      <c r="CP399"/>
      <c r="CQ399"/>
      <c r="CR399"/>
    </row>
    <row r="400" spans="33:96">
      <c r="AG400" s="1"/>
      <c r="AH400" s="1"/>
      <c r="AI400" s="1"/>
      <c r="AJ400" s="1"/>
      <c r="AR400" s="1"/>
      <c r="AS400" s="1"/>
      <c r="AT400" s="1"/>
      <c r="AV400" s="1"/>
      <c r="BC400" s="1"/>
      <c r="BD400" s="1"/>
      <c r="BE400" s="1"/>
      <c r="BF400" s="1"/>
      <c r="BG400" s="1"/>
      <c r="BH400" s="1"/>
      <c r="BI400" s="1"/>
      <c r="BJ400" s="1"/>
      <c r="BK400" s="1"/>
      <c r="BL400" s="1"/>
      <c r="BM400" s="1"/>
      <c r="BN400" s="1"/>
      <c r="BO400" s="1"/>
      <c r="BP400" s="1"/>
      <c r="BQ400" s="1"/>
      <c r="BR400" s="1"/>
      <c r="BS400" s="1"/>
      <c r="BT400" s="1"/>
      <c r="BU400" s="1"/>
      <c r="BV400" s="1"/>
      <c r="BW400" s="1"/>
      <c r="BX400" s="1"/>
      <c r="BY400" s="1"/>
      <c r="BZ400" s="1"/>
      <c r="CA400" s="1"/>
      <c r="CM400"/>
      <c r="CN400"/>
      <c r="CO400"/>
      <c r="CP400"/>
      <c r="CQ400"/>
      <c r="CR400"/>
    </row>
    <row r="401" spans="33:96">
      <c r="AG401" s="1"/>
      <c r="AH401" s="1"/>
      <c r="AI401" s="1"/>
      <c r="AJ401" s="1"/>
      <c r="AR401" s="1"/>
      <c r="AS401" s="1"/>
      <c r="AT401" s="1"/>
      <c r="AV401" s="1"/>
      <c r="BC401" s="1"/>
      <c r="BD401" s="1"/>
      <c r="BE401" s="1"/>
      <c r="BF401" s="1"/>
      <c r="BG401" s="1"/>
      <c r="BH401" s="1"/>
      <c r="BI401" s="1"/>
      <c r="BJ401" s="1"/>
      <c r="BK401" s="1"/>
      <c r="BL401" s="1"/>
      <c r="BM401" s="1"/>
      <c r="BN401" s="1"/>
      <c r="BO401" s="1"/>
      <c r="BP401" s="1"/>
      <c r="BQ401" s="1"/>
      <c r="BR401" s="1"/>
      <c r="BS401" s="1"/>
      <c r="BT401" s="1"/>
      <c r="BU401" s="1"/>
      <c r="BV401" s="1"/>
      <c r="BW401" s="1"/>
      <c r="BX401" s="1"/>
      <c r="BY401" s="1"/>
      <c r="BZ401" s="1"/>
      <c r="CA401" s="1"/>
      <c r="CM401"/>
      <c r="CN401"/>
      <c r="CO401"/>
      <c r="CP401"/>
      <c r="CQ401"/>
      <c r="CR401"/>
    </row>
    <row r="402" spans="33:96">
      <c r="AG402" s="1"/>
      <c r="AH402" s="1"/>
      <c r="AI402" s="1"/>
      <c r="AJ402" s="1"/>
      <c r="AR402" s="1"/>
      <c r="AS402" s="1"/>
      <c r="AT402" s="1"/>
      <c r="AV402" s="1"/>
      <c r="BC402" s="1"/>
      <c r="BD402" s="1"/>
      <c r="BE402" s="1"/>
      <c r="BF402" s="1"/>
      <c r="BG402" s="1"/>
      <c r="BH402" s="1"/>
      <c r="BI402" s="1"/>
      <c r="BJ402" s="1"/>
      <c r="BK402" s="1"/>
      <c r="BL402" s="1"/>
      <c r="BM402" s="1"/>
      <c r="BN402" s="1"/>
      <c r="BO402" s="1"/>
      <c r="BP402" s="1"/>
      <c r="BQ402" s="1"/>
      <c r="BR402" s="1"/>
      <c r="BS402" s="1"/>
      <c r="BT402" s="1"/>
      <c r="BU402" s="1"/>
      <c r="BV402" s="1"/>
      <c r="BW402" s="1"/>
      <c r="BX402" s="1"/>
      <c r="BY402" s="1"/>
      <c r="BZ402" s="1"/>
      <c r="CA402" s="1"/>
      <c r="CM402"/>
      <c r="CN402"/>
      <c r="CO402"/>
      <c r="CP402"/>
      <c r="CQ402"/>
      <c r="CR402"/>
    </row>
    <row r="403" spans="33:96">
      <c r="AG403" s="1"/>
      <c r="AH403" s="1"/>
      <c r="AI403" s="1"/>
      <c r="AJ403" s="1"/>
      <c r="AR403" s="1"/>
      <c r="AS403" s="1"/>
      <c r="AT403" s="1"/>
      <c r="AV403" s="1"/>
      <c r="BC403" s="1"/>
      <c r="BD403" s="1"/>
      <c r="BE403" s="1"/>
      <c r="BF403" s="1"/>
      <c r="BG403" s="1"/>
      <c r="BH403" s="1"/>
      <c r="BI403" s="1"/>
      <c r="BJ403" s="1"/>
      <c r="BK403" s="1"/>
      <c r="BL403" s="1"/>
      <c r="BM403" s="1"/>
      <c r="BN403" s="1"/>
      <c r="BO403" s="1"/>
      <c r="BP403" s="1"/>
      <c r="BQ403" s="1"/>
      <c r="BR403" s="1"/>
      <c r="BS403" s="1"/>
      <c r="BT403" s="1"/>
      <c r="BU403" s="1"/>
      <c r="BV403" s="1"/>
      <c r="BW403" s="1"/>
      <c r="BX403" s="1"/>
      <c r="BY403" s="1"/>
      <c r="BZ403" s="1"/>
      <c r="CA403" s="1"/>
      <c r="CM403"/>
      <c r="CN403"/>
      <c r="CO403"/>
      <c r="CP403"/>
      <c r="CQ403"/>
      <c r="CR403"/>
    </row>
    <row r="404" spans="33:96">
      <c r="AG404" s="1"/>
      <c r="AH404" s="1"/>
      <c r="AI404" s="1"/>
      <c r="AJ404" s="1"/>
      <c r="AR404" s="1"/>
      <c r="AS404" s="1"/>
      <c r="AT404" s="1"/>
      <c r="AV404" s="1"/>
      <c r="BC404" s="1"/>
      <c r="BD404" s="1"/>
      <c r="BE404" s="1"/>
      <c r="BF404" s="1"/>
      <c r="BG404" s="1"/>
      <c r="BH404" s="1"/>
      <c r="BI404" s="1"/>
      <c r="BJ404" s="1"/>
      <c r="BK404" s="1"/>
      <c r="BL404" s="1"/>
      <c r="BM404" s="1"/>
      <c r="BN404" s="1"/>
      <c r="BO404" s="1"/>
      <c r="BP404" s="1"/>
      <c r="BQ404" s="1"/>
      <c r="BR404" s="1"/>
      <c r="BS404" s="1"/>
      <c r="BT404" s="1"/>
      <c r="BU404" s="1"/>
      <c r="BV404" s="1"/>
      <c r="BW404" s="1"/>
      <c r="BX404" s="1"/>
      <c r="BY404" s="1"/>
      <c r="BZ404" s="1"/>
      <c r="CA404" s="1"/>
      <c r="CM404"/>
      <c r="CN404"/>
      <c r="CO404"/>
      <c r="CP404"/>
      <c r="CQ404"/>
      <c r="CR404"/>
    </row>
    <row r="405" spans="33:96">
      <c r="AG405" s="1"/>
      <c r="AH405" s="1"/>
      <c r="AI405" s="1"/>
      <c r="AJ405" s="1"/>
      <c r="AR405" s="1"/>
      <c r="AS405" s="1"/>
      <c r="AT405" s="1"/>
      <c r="AV405" s="1"/>
      <c r="BC405" s="1"/>
      <c r="BD405" s="1"/>
      <c r="BE405" s="1"/>
      <c r="BF405" s="1"/>
      <c r="BG405" s="1"/>
      <c r="BH405" s="1"/>
      <c r="BI405" s="1"/>
      <c r="BJ405" s="1"/>
      <c r="BK405" s="1"/>
      <c r="BL405" s="1"/>
      <c r="BM405" s="1"/>
      <c r="BN405" s="1"/>
      <c r="BO405" s="1"/>
      <c r="BP405" s="1"/>
      <c r="BQ405" s="1"/>
      <c r="BR405" s="1"/>
      <c r="BS405" s="1"/>
      <c r="BT405" s="1"/>
      <c r="BU405" s="1"/>
      <c r="BV405" s="1"/>
      <c r="BW405" s="1"/>
      <c r="BX405" s="1"/>
      <c r="BY405" s="1"/>
      <c r="BZ405" s="1"/>
      <c r="CA405" s="1"/>
      <c r="CM405"/>
      <c r="CN405"/>
      <c r="CO405"/>
      <c r="CP405"/>
      <c r="CQ405"/>
      <c r="CR405"/>
    </row>
    <row r="406" spans="33:96">
      <c r="AG406" s="1"/>
      <c r="AH406" s="1"/>
      <c r="AI406" s="1"/>
      <c r="AJ406" s="1"/>
      <c r="AR406" s="1"/>
      <c r="AS406" s="1"/>
      <c r="AT406" s="1"/>
      <c r="AV406" s="1"/>
      <c r="BC406" s="1"/>
      <c r="BD406" s="1"/>
      <c r="BE406" s="1"/>
      <c r="BF406" s="1"/>
      <c r="BG406" s="1"/>
      <c r="BH406" s="1"/>
      <c r="BI406" s="1"/>
      <c r="BJ406" s="1"/>
      <c r="BK406" s="1"/>
      <c r="BL406" s="1"/>
      <c r="BM406" s="1"/>
      <c r="BN406" s="1"/>
      <c r="BO406" s="1"/>
      <c r="BP406" s="1"/>
      <c r="BQ406" s="1"/>
      <c r="BR406" s="1"/>
      <c r="BS406" s="1"/>
      <c r="BT406" s="1"/>
      <c r="BU406" s="1"/>
      <c r="BV406" s="1"/>
      <c r="BW406" s="1"/>
      <c r="BX406" s="1"/>
      <c r="BY406" s="1"/>
      <c r="BZ406" s="1"/>
      <c r="CA406" s="1"/>
      <c r="CM406"/>
      <c r="CN406"/>
      <c r="CO406"/>
      <c r="CP406"/>
      <c r="CQ406"/>
      <c r="CR406"/>
    </row>
    <row r="407" spans="33:96">
      <c r="AG407" s="1"/>
      <c r="AH407" s="1"/>
      <c r="AI407" s="1"/>
      <c r="AJ407" s="1"/>
      <c r="AR407" s="1"/>
      <c r="AS407" s="1"/>
      <c r="AT407" s="1"/>
      <c r="AV407" s="1"/>
      <c r="BC407" s="1"/>
      <c r="BD407" s="1"/>
      <c r="BE407" s="1"/>
      <c r="BF407" s="1"/>
      <c r="BG407" s="1"/>
      <c r="BH407" s="1"/>
      <c r="BI407" s="1"/>
      <c r="BJ407" s="1"/>
      <c r="BK407" s="1"/>
      <c r="BL407" s="1"/>
      <c r="BM407" s="1"/>
      <c r="BN407" s="1"/>
      <c r="BO407" s="1"/>
      <c r="BP407" s="1"/>
      <c r="BQ407" s="1"/>
      <c r="BR407" s="1"/>
      <c r="BS407" s="1"/>
      <c r="BT407" s="1"/>
      <c r="BU407" s="1"/>
      <c r="BV407" s="1"/>
      <c r="BW407" s="1"/>
      <c r="BX407" s="1"/>
      <c r="BY407" s="1"/>
      <c r="BZ407" s="1"/>
      <c r="CA407" s="1"/>
      <c r="CM407"/>
      <c r="CN407"/>
      <c r="CO407"/>
      <c r="CP407"/>
      <c r="CQ407"/>
      <c r="CR407"/>
    </row>
    <row r="408" spans="33:96">
      <c r="AG408" s="1"/>
      <c r="AH408" s="1"/>
      <c r="AI408" s="1"/>
      <c r="AJ408" s="1"/>
      <c r="AR408" s="1"/>
      <c r="AS408" s="1"/>
      <c r="AT408" s="1"/>
      <c r="AV408" s="1"/>
      <c r="BC408" s="1"/>
      <c r="BD408" s="1"/>
      <c r="BE408" s="1"/>
      <c r="BF408" s="1"/>
      <c r="BG408" s="1"/>
      <c r="BH408" s="1"/>
      <c r="BI408" s="1"/>
      <c r="BJ408" s="1"/>
      <c r="BK408" s="1"/>
      <c r="BL408" s="1"/>
      <c r="BM408" s="1"/>
      <c r="BN408" s="1"/>
      <c r="BO408" s="1"/>
      <c r="BP408" s="1"/>
      <c r="BQ408" s="1"/>
      <c r="BR408" s="1"/>
      <c r="BS408" s="1"/>
      <c r="BT408" s="1"/>
      <c r="BU408" s="1"/>
      <c r="BV408" s="1"/>
      <c r="BW408" s="1"/>
      <c r="BX408" s="1"/>
      <c r="BY408" s="1"/>
      <c r="BZ408" s="1"/>
      <c r="CA408" s="1"/>
      <c r="CM408"/>
      <c r="CN408"/>
      <c r="CO408"/>
      <c r="CP408"/>
      <c r="CQ408"/>
      <c r="CR408"/>
    </row>
    <row r="409" spans="33:96">
      <c r="AG409" s="1"/>
      <c r="AH409" s="1"/>
      <c r="AI409" s="1"/>
      <c r="AJ409" s="1"/>
      <c r="AR409" s="1"/>
      <c r="AS409" s="1"/>
      <c r="AT409" s="1"/>
      <c r="AV409" s="1"/>
      <c r="BC409" s="1"/>
      <c r="BD409" s="1"/>
      <c r="BE409" s="1"/>
      <c r="BF409" s="1"/>
      <c r="BG409" s="1"/>
      <c r="BH409" s="1"/>
      <c r="BI409" s="1"/>
      <c r="BJ409" s="1"/>
      <c r="BK409" s="1"/>
      <c r="BL409" s="1"/>
      <c r="BM409" s="1"/>
      <c r="BN409" s="1"/>
      <c r="BO409" s="1"/>
      <c r="BP409" s="1"/>
      <c r="BQ409" s="1"/>
      <c r="BR409" s="1"/>
      <c r="BS409" s="1"/>
      <c r="BT409" s="1"/>
      <c r="BU409" s="1"/>
      <c r="BV409" s="1"/>
      <c r="BW409" s="1"/>
      <c r="BX409" s="1"/>
      <c r="BY409" s="1"/>
      <c r="BZ409" s="1"/>
      <c r="CA409" s="1"/>
      <c r="CM409"/>
      <c r="CN409"/>
      <c r="CO409"/>
      <c r="CP409"/>
      <c r="CQ409"/>
      <c r="CR409"/>
    </row>
    <row r="410" spans="33:96">
      <c r="AG410" s="1"/>
      <c r="AH410" s="1"/>
      <c r="AI410" s="1"/>
      <c r="AJ410" s="1"/>
      <c r="AR410" s="1"/>
      <c r="AS410" s="1"/>
      <c r="AT410" s="1"/>
      <c r="AV410" s="1"/>
      <c r="BC410" s="1"/>
      <c r="BD410" s="1"/>
      <c r="BE410" s="1"/>
      <c r="BF410" s="1"/>
      <c r="BG410" s="1"/>
      <c r="BH410" s="1"/>
      <c r="BI410" s="1"/>
      <c r="BJ410" s="1"/>
      <c r="BK410" s="1"/>
      <c r="BL410" s="1"/>
      <c r="BM410" s="1"/>
      <c r="BN410" s="1"/>
      <c r="BO410" s="1"/>
      <c r="BP410" s="1"/>
      <c r="BQ410" s="1"/>
      <c r="BR410" s="1"/>
      <c r="BS410" s="1"/>
      <c r="BT410" s="1"/>
      <c r="BU410" s="1"/>
      <c r="BV410" s="1"/>
      <c r="BW410" s="1"/>
      <c r="BX410" s="1"/>
      <c r="BY410" s="1"/>
      <c r="BZ410" s="1"/>
      <c r="CA410" s="1"/>
      <c r="CM410"/>
      <c r="CN410"/>
      <c r="CO410"/>
      <c r="CP410"/>
      <c r="CQ410"/>
      <c r="CR410"/>
    </row>
    <row r="411" spans="33:96">
      <c r="AG411" s="1"/>
      <c r="AH411" s="1"/>
      <c r="AI411" s="1"/>
      <c r="AJ411" s="1"/>
      <c r="AR411" s="1"/>
      <c r="AS411" s="1"/>
      <c r="AT411" s="1"/>
      <c r="AV411" s="1"/>
      <c r="BC411" s="1"/>
      <c r="BD411" s="1"/>
      <c r="BE411" s="1"/>
      <c r="BF411" s="1"/>
      <c r="BG411" s="1"/>
      <c r="BH411" s="1"/>
      <c r="BI411" s="1"/>
      <c r="BJ411" s="1"/>
      <c r="BK411" s="1"/>
      <c r="BL411" s="1"/>
      <c r="BM411" s="1"/>
      <c r="BN411" s="1"/>
      <c r="BO411" s="1"/>
      <c r="BP411" s="1"/>
      <c r="BQ411" s="1"/>
      <c r="BR411" s="1"/>
      <c r="BS411" s="1"/>
      <c r="BT411" s="1"/>
      <c r="BU411" s="1"/>
      <c r="BV411" s="1"/>
      <c r="BW411" s="1"/>
      <c r="BX411" s="1"/>
      <c r="BY411" s="1"/>
      <c r="BZ411" s="1"/>
      <c r="CA411" s="1"/>
      <c r="CM411"/>
      <c r="CN411"/>
      <c r="CO411"/>
      <c r="CP411"/>
      <c r="CQ411"/>
      <c r="CR411"/>
    </row>
    <row r="412" spans="33:96">
      <c r="AG412" s="1"/>
      <c r="AH412" s="1"/>
      <c r="AI412" s="1"/>
      <c r="AJ412" s="1"/>
      <c r="AR412" s="1"/>
      <c r="AS412" s="1"/>
      <c r="AT412" s="1"/>
      <c r="AV412" s="1"/>
      <c r="BC412" s="1"/>
      <c r="BD412" s="1"/>
      <c r="BE412" s="1"/>
      <c r="BF412" s="1"/>
      <c r="BG412" s="1"/>
      <c r="BH412" s="1"/>
      <c r="BI412" s="1"/>
      <c r="BJ412" s="1"/>
      <c r="BK412" s="1"/>
      <c r="BL412" s="1"/>
      <c r="BM412" s="1"/>
      <c r="BN412" s="1"/>
      <c r="BO412" s="1"/>
      <c r="BP412" s="1"/>
      <c r="BQ412" s="1"/>
      <c r="BR412" s="1"/>
      <c r="BS412" s="1"/>
      <c r="BT412" s="1"/>
      <c r="BU412" s="1"/>
      <c r="BV412" s="1"/>
      <c r="BW412" s="1"/>
      <c r="BX412" s="1"/>
      <c r="BY412" s="1"/>
      <c r="BZ412" s="1"/>
      <c r="CA412" s="1"/>
      <c r="CM412"/>
      <c r="CN412"/>
      <c r="CO412"/>
      <c r="CP412"/>
      <c r="CQ412"/>
      <c r="CR412"/>
    </row>
    <row r="413" spans="33:96">
      <c r="AG413" s="1"/>
      <c r="AH413" s="1"/>
      <c r="AI413" s="1"/>
      <c r="AJ413" s="1"/>
      <c r="AR413" s="1"/>
      <c r="AS413" s="1"/>
      <c r="AT413" s="1"/>
      <c r="AV413" s="1"/>
      <c r="BC413" s="1"/>
      <c r="BD413" s="1"/>
      <c r="BE413" s="1"/>
      <c r="BF413" s="1"/>
      <c r="BG413" s="1"/>
      <c r="BH413" s="1"/>
      <c r="BI413" s="1"/>
      <c r="BJ413" s="1"/>
      <c r="BK413" s="1"/>
      <c r="BL413" s="1"/>
      <c r="BM413" s="1"/>
      <c r="BN413" s="1"/>
      <c r="BO413" s="1"/>
      <c r="BP413" s="1"/>
      <c r="BQ413" s="1"/>
      <c r="BR413" s="1"/>
      <c r="BS413" s="1"/>
      <c r="BT413" s="1"/>
      <c r="BU413" s="1"/>
      <c r="BV413" s="1"/>
      <c r="BW413" s="1"/>
      <c r="BX413" s="1"/>
      <c r="BY413" s="1"/>
      <c r="BZ413" s="1"/>
      <c r="CA413" s="1"/>
      <c r="CM413"/>
      <c r="CN413"/>
      <c r="CO413"/>
      <c r="CP413"/>
      <c r="CQ413"/>
      <c r="CR413"/>
    </row>
    <row r="414" spans="33:96">
      <c r="AG414" s="1"/>
      <c r="AH414" s="1"/>
      <c r="AI414" s="1"/>
      <c r="AJ414" s="1"/>
      <c r="AR414" s="1"/>
      <c r="AS414" s="1"/>
      <c r="AT414" s="1"/>
      <c r="AV414" s="1"/>
      <c r="BC414" s="1"/>
      <c r="BD414" s="1"/>
      <c r="BE414" s="1"/>
      <c r="BF414" s="1"/>
      <c r="BG414" s="1"/>
      <c r="BH414" s="1"/>
      <c r="BI414" s="1"/>
      <c r="BJ414" s="1"/>
      <c r="BK414" s="1"/>
      <c r="BL414" s="1"/>
      <c r="BM414" s="1"/>
      <c r="BN414" s="1"/>
      <c r="BO414" s="1"/>
      <c r="BP414" s="1"/>
      <c r="BQ414" s="1"/>
      <c r="BR414" s="1"/>
      <c r="BS414" s="1"/>
      <c r="BT414" s="1"/>
      <c r="BU414" s="1"/>
      <c r="BV414" s="1"/>
      <c r="BW414" s="1"/>
      <c r="BX414" s="1"/>
      <c r="BY414" s="1"/>
      <c r="BZ414" s="1"/>
      <c r="CA414" s="1"/>
      <c r="CM414"/>
      <c r="CN414"/>
      <c r="CO414"/>
      <c r="CP414"/>
      <c r="CQ414"/>
      <c r="CR414"/>
    </row>
    <row r="415" spans="33:96">
      <c r="AG415" s="1"/>
      <c r="AH415" s="1"/>
      <c r="AI415" s="1"/>
      <c r="AJ415" s="1"/>
      <c r="AR415" s="1"/>
      <c r="AS415" s="1"/>
      <c r="AT415" s="1"/>
      <c r="AV415" s="1"/>
      <c r="BC415" s="1"/>
      <c r="BD415" s="1"/>
      <c r="BE415" s="1"/>
      <c r="BF415" s="1"/>
      <c r="BG415" s="1"/>
      <c r="BH415" s="1"/>
      <c r="BI415" s="1"/>
      <c r="BJ415" s="1"/>
      <c r="BK415" s="1"/>
      <c r="BL415" s="1"/>
      <c r="BM415" s="1"/>
      <c r="BN415" s="1"/>
      <c r="BO415" s="1"/>
      <c r="BP415" s="1"/>
      <c r="BQ415" s="1"/>
      <c r="BR415" s="1"/>
      <c r="BS415" s="1"/>
      <c r="BT415" s="1"/>
      <c r="BU415" s="1"/>
      <c r="BV415" s="1"/>
      <c r="BW415" s="1"/>
      <c r="BX415" s="1"/>
      <c r="BY415" s="1"/>
      <c r="BZ415" s="1"/>
      <c r="CA415" s="1"/>
      <c r="CM415"/>
      <c r="CN415"/>
      <c r="CO415"/>
      <c r="CP415"/>
      <c r="CQ415"/>
      <c r="CR415"/>
    </row>
    <row r="416" spans="33:96">
      <c r="AG416" s="1"/>
      <c r="AH416" s="1"/>
      <c r="AI416" s="1"/>
      <c r="AJ416" s="1"/>
      <c r="AR416" s="1"/>
      <c r="AS416" s="1"/>
      <c r="AT416" s="1"/>
      <c r="AV416" s="1"/>
      <c r="BC416" s="1"/>
      <c r="BD416" s="1"/>
      <c r="BE416" s="1"/>
      <c r="BF416" s="1"/>
      <c r="BG416" s="1"/>
      <c r="BH416" s="1"/>
      <c r="BI416" s="1"/>
      <c r="BJ416" s="1"/>
      <c r="BK416" s="1"/>
      <c r="BL416" s="1"/>
      <c r="BM416" s="1"/>
      <c r="BN416" s="1"/>
      <c r="BO416" s="1"/>
      <c r="BP416" s="1"/>
      <c r="BQ416" s="1"/>
      <c r="BR416" s="1"/>
      <c r="BS416" s="1"/>
      <c r="BT416" s="1"/>
      <c r="BU416" s="1"/>
      <c r="BV416" s="1"/>
      <c r="BW416" s="1"/>
      <c r="BX416" s="1"/>
      <c r="BY416" s="1"/>
      <c r="BZ416" s="1"/>
      <c r="CA416" s="1"/>
      <c r="CM416"/>
      <c r="CN416"/>
      <c r="CO416"/>
      <c r="CP416"/>
      <c r="CQ416"/>
      <c r="CR416"/>
    </row>
    <row r="417" spans="33:96">
      <c r="AG417" s="1"/>
      <c r="AH417" s="1"/>
      <c r="AI417" s="1"/>
      <c r="AJ417" s="1"/>
      <c r="AR417" s="1"/>
      <c r="AS417" s="1"/>
      <c r="AT417" s="1"/>
      <c r="AV417" s="1"/>
      <c r="BC417" s="1"/>
      <c r="BD417" s="1"/>
      <c r="BE417" s="1"/>
      <c r="BF417" s="1"/>
      <c r="BG417" s="1"/>
      <c r="BH417" s="1"/>
      <c r="BI417" s="1"/>
      <c r="BJ417" s="1"/>
      <c r="BK417" s="1"/>
      <c r="BL417" s="1"/>
      <c r="BM417" s="1"/>
      <c r="BN417" s="1"/>
      <c r="BO417" s="1"/>
      <c r="BP417" s="1"/>
      <c r="BQ417" s="1"/>
      <c r="BR417" s="1"/>
      <c r="BS417" s="1"/>
      <c r="BT417" s="1"/>
      <c r="BU417" s="1"/>
      <c r="BV417" s="1"/>
      <c r="BW417" s="1"/>
      <c r="BX417" s="1"/>
      <c r="BY417" s="1"/>
      <c r="BZ417" s="1"/>
      <c r="CA417" s="1"/>
      <c r="CM417"/>
      <c r="CN417"/>
      <c r="CO417"/>
      <c r="CP417"/>
      <c r="CQ417"/>
      <c r="CR417"/>
    </row>
    <row r="418" spans="33:96">
      <c r="AG418" s="1"/>
      <c r="AH418" s="1"/>
      <c r="AI418" s="1"/>
      <c r="AJ418" s="1"/>
      <c r="AR418" s="1"/>
      <c r="AS418" s="1"/>
      <c r="AT418" s="1"/>
      <c r="AV418" s="1"/>
      <c r="BC418" s="1"/>
      <c r="BD418" s="1"/>
      <c r="BE418" s="1"/>
      <c r="BF418" s="1"/>
      <c r="BG418" s="1"/>
      <c r="BH418" s="1"/>
      <c r="BI418" s="1"/>
      <c r="BJ418" s="1"/>
      <c r="BK418" s="1"/>
      <c r="BL418" s="1"/>
      <c r="BM418" s="1"/>
      <c r="BN418" s="1"/>
      <c r="BO418" s="1"/>
      <c r="BP418" s="1"/>
      <c r="BQ418" s="1"/>
      <c r="BR418" s="1"/>
      <c r="BS418" s="1"/>
      <c r="BT418" s="1"/>
      <c r="BU418" s="1"/>
      <c r="BV418" s="1"/>
      <c r="BW418" s="1"/>
      <c r="BX418" s="1"/>
      <c r="BY418" s="1"/>
      <c r="BZ418" s="1"/>
      <c r="CA418" s="1"/>
      <c r="CM418"/>
      <c r="CN418"/>
      <c r="CO418"/>
      <c r="CP418"/>
      <c r="CQ418"/>
      <c r="CR418"/>
    </row>
    <row r="419" spans="33:96">
      <c r="AG419" s="1"/>
      <c r="AH419" s="1"/>
      <c r="AI419" s="1"/>
      <c r="AJ419" s="1"/>
      <c r="AR419" s="1"/>
      <c r="AS419" s="1"/>
      <c r="AT419" s="1"/>
      <c r="AV419" s="1"/>
      <c r="BC419" s="1"/>
      <c r="BD419" s="1"/>
      <c r="BE419" s="1"/>
      <c r="BF419" s="1"/>
      <c r="BG419" s="1"/>
      <c r="BH419" s="1"/>
      <c r="BI419" s="1"/>
      <c r="BJ419" s="1"/>
      <c r="BK419" s="1"/>
      <c r="BL419" s="1"/>
      <c r="BM419" s="1"/>
      <c r="BN419" s="1"/>
      <c r="BO419" s="1"/>
      <c r="BP419" s="1"/>
      <c r="BQ419" s="1"/>
      <c r="BR419" s="1"/>
      <c r="BS419" s="1"/>
      <c r="BT419" s="1"/>
      <c r="BU419" s="1"/>
      <c r="BV419" s="1"/>
      <c r="BW419" s="1"/>
      <c r="BX419" s="1"/>
      <c r="BY419" s="1"/>
      <c r="BZ419" s="1"/>
      <c r="CA419" s="1"/>
      <c r="CM419"/>
      <c r="CN419"/>
      <c r="CO419"/>
      <c r="CP419"/>
      <c r="CQ419"/>
      <c r="CR419"/>
    </row>
    <row r="420" spans="33:96">
      <c r="AG420" s="1"/>
      <c r="AH420" s="1"/>
      <c r="AI420" s="1"/>
      <c r="AJ420" s="1"/>
      <c r="AR420" s="1"/>
      <c r="AS420" s="1"/>
      <c r="AT420" s="1"/>
      <c r="AV420" s="1"/>
      <c r="BC420" s="1"/>
      <c r="BD420" s="1"/>
      <c r="BE420" s="1"/>
      <c r="BF420" s="1"/>
      <c r="BG420" s="1"/>
      <c r="BH420" s="1"/>
      <c r="BI420" s="1"/>
      <c r="BJ420" s="1"/>
      <c r="BK420" s="1"/>
      <c r="BL420" s="1"/>
      <c r="BM420" s="1"/>
      <c r="BN420" s="1"/>
      <c r="BO420" s="1"/>
      <c r="BP420" s="1"/>
      <c r="BQ420" s="1"/>
      <c r="BR420" s="1"/>
      <c r="BS420" s="1"/>
      <c r="BT420" s="1"/>
      <c r="BU420" s="1"/>
      <c r="BV420" s="1"/>
      <c r="BW420" s="1"/>
      <c r="BX420" s="1"/>
      <c r="BY420" s="1"/>
      <c r="BZ420" s="1"/>
      <c r="CA420" s="1"/>
      <c r="CM420"/>
      <c r="CN420"/>
      <c r="CO420"/>
      <c r="CP420"/>
      <c r="CQ420"/>
      <c r="CR420"/>
    </row>
    <row r="421" spans="33:96">
      <c r="AG421" s="1"/>
      <c r="AH421" s="1"/>
      <c r="AI421" s="1"/>
      <c r="AJ421" s="1"/>
      <c r="AR421" s="1"/>
      <c r="AS421" s="1"/>
      <c r="AT421" s="1"/>
      <c r="AV421" s="1"/>
      <c r="BC421" s="1"/>
      <c r="BD421" s="1"/>
      <c r="BE421" s="1"/>
      <c r="BF421" s="1"/>
      <c r="BG421" s="1"/>
      <c r="BH421" s="1"/>
      <c r="BI421" s="1"/>
      <c r="BJ421" s="1"/>
      <c r="BK421" s="1"/>
      <c r="BL421" s="1"/>
      <c r="BM421" s="1"/>
      <c r="BN421" s="1"/>
      <c r="BO421" s="1"/>
      <c r="BP421" s="1"/>
      <c r="BQ421" s="1"/>
      <c r="BR421" s="1"/>
      <c r="BS421" s="1"/>
      <c r="BT421" s="1"/>
      <c r="BU421" s="1"/>
      <c r="BV421" s="1"/>
      <c r="BW421" s="1"/>
      <c r="BX421" s="1"/>
      <c r="BY421" s="1"/>
      <c r="BZ421" s="1"/>
      <c r="CA421" s="1"/>
      <c r="CM421"/>
      <c r="CN421"/>
      <c r="CO421"/>
      <c r="CP421"/>
      <c r="CQ421"/>
      <c r="CR421"/>
    </row>
    <row r="422" spans="33:96">
      <c r="AG422" s="1"/>
      <c r="AH422" s="1"/>
      <c r="AI422" s="1"/>
      <c r="AJ422" s="1"/>
      <c r="AR422" s="1"/>
      <c r="AS422" s="1"/>
      <c r="AT422" s="1"/>
      <c r="AV422" s="1"/>
      <c r="BC422" s="1"/>
      <c r="BD422" s="1"/>
      <c r="BE422" s="1"/>
      <c r="BF422" s="1"/>
      <c r="BG422" s="1"/>
      <c r="BH422" s="1"/>
      <c r="BI422" s="1"/>
      <c r="BJ422" s="1"/>
      <c r="BK422" s="1"/>
      <c r="BL422" s="1"/>
      <c r="BM422" s="1"/>
      <c r="BN422" s="1"/>
      <c r="BO422" s="1"/>
      <c r="BP422" s="1"/>
      <c r="BQ422" s="1"/>
      <c r="BR422" s="1"/>
      <c r="BS422" s="1"/>
      <c r="BT422" s="1"/>
      <c r="BU422" s="1"/>
      <c r="BV422" s="1"/>
      <c r="BW422" s="1"/>
      <c r="BX422" s="1"/>
      <c r="BY422" s="1"/>
      <c r="BZ422" s="1"/>
      <c r="CA422" s="1"/>
      <c r="CM422"/>
      <c r="CN422"/>
      <c r="CO422"/>
      <c r="CP422"/>
      <c r="CQ422"/>
      <c r="CR422"/>
    </row>
    <row r="423" spans="33:96">
      <c r="AG423" s="1"/>
      <c r="AH423" s="1"/>
      <c r="AI423" s="1"/>
      <c r="AJ423" s="1"/>
      <c r="AR423" s="1"/>
      <c r="AS423" s="1"/>
      <c r="AT423" s="1"/>
      <c r="AV423" s="1"/>
      <c r="BC423" s="1"/>
      <c r="BD423" s="1"/>
      <c r="BE423" s="1"/>
      <c r="BF423" s="1"/>
      <c r="BG423" s="1"/>
      <c r="BH423" s="1"/>
      <c r="BI423" s="1"/>
      <c r="BJ423" s="1"/>
      <c r="BK423" s="1"/>
      <c r="BL423" s="1"/>
      <c r="BM423" s="1"/>
      <c r="BN423" s="1"/>
      <c r="BO423" s="1"/>
      <c r="BP423" s="1"/>
      <c r="BQ423" s="1"/>
      <c r="BR423" s="1"/>
      <c r="BS423" s="1"/>
      <c r="BT423" s="1"/>
      <c r="BU423" s="1"/>
      <c r="BV423" s="1"/>
      <c r="BW423" s="1"/>
      <c r="BX423" s="1"/>
      <c r="BY423" s="1"/>
      <c r="BZ423" s="1"/>
      <c r="CA423" s="1"/>
      <c r="CM423"/>
      <c r="CN423"/>
      <c r="CO423"/>
      <c r="CP423"/>
      <c r="CQ423"/>
      <c r="CR423"/>
    </row>
    <row r="424" spans="33:96">
      <c r="AG424" s="1"/>
      <c r="AH424" s="1"/>
      <c r="AI424" s="1"/>
      <c r="AJ424" s="1"/>
      <c r="AR424" s="1"/>
      <c r="AS424" s="1"/>
      <c r="AT424" s="1"/>
      <c r="AV424" s="1"/>
      <c r="BC424" s="1"/>
      <c r="BD424" s="1"/>
      <c r="BE424" s="1"/>
      <c r="BF424" s="1"/>
      <c r="BG424" s="1"/>
      <c r="BH424" s="1"/>
      <c r="BI424" s="1"/>
      <c r="BJ424" s="1"/>
      <c r="BK424" s="1"/>
      <c r="BL424" s="1"/>
      <c r="BM424" s="1"/>
      <c r="BN424" s="1"/>
      <c r="BO424" s="1"/>
      <c r="BP424" s="1"/>
      <c r="BQ424" s="1"/>
      <c r="BR424" s="1"/>
      <c r="BS424" s="1"/>
      <c r="BT424" s="1"/>
      <c r="BU424" s="1"/>
      <c r="BV424" s="1"/>
      <c r="BW424" s="1"/>
      <c r="BX424" s="1"/>
      <c r="BY424" s="1"/>
      <c r="BZ424" s="1"/>
      <c r="CA424" s="1"/>
      <c r="CM424"/>
      <c r="CN424"/>
      <c r="CO424"/>
      <c r="CP424"/>
      <c r="CQ424"/>
      <c r="CR424"/>
    </row>
    <row r="425" spans="33:96">
      <c r="AG425" s="1"/>
      <c r="AH425" s="1"/>
      <c r="AI425" s="1"/>
      <c r="AJ425" s="1"/>
      <c r="AR425" s="1"/>
      <c r="AS425" s="1"/>
      <c r="AT425" s="1"/>
      <c r="AV425" s="1"/>
      <c r="BC425" s="1"/>
      <c r="BD425" s="1"/>
      <c r="BE425" s="1"/>
      <c r="BF425" s="1"/>
      <c r="BG425" s="1"/>
      <c r="BH425" s="1"/>
      <c r="BI425" s="1"/>
      <c r="BJ425" s="1"/>
      <c r="BK425" s="1"/>
      <c r="BL425" s="1"/>
      <c r="BM425" s="1"/>
      <c r="BN425" s="1"/>
      <c r="BO425" s="1"/>
      <c r="BP425" s="1"/>
      <c r="BQ425" s="1"/>
      <c r="BR425" s="1"/>
      <c r="BS425" s="1"/>
      <c r="BT425" s="1"/>
      <c r="BU425" s="1"/>
      <c r="BV425" s="1"/>
      <c r="BW425" s="1"/>
      <c r="BX425" s="1"/>
      <c r="BY425" s="1"/>
      <c r="BZ425" s="1"/>
      <c r="CA425" s="1"/>
      <c r="CM425"/>
      <c r="CN425"/>
      <c r="CO425"/>
      <c r="CP425"/>
      <c r="CQ425"/>
      <c r="CR425"/>
    </row>
    <row r="426" spans="33:96">
      <c r="AG426" s="1"/>
      <c r="AH426" s="1"/>
      <c r="AI426" s="1"/>
      <c r="AJ426" s="1"/>
      <c r="AR426" s="1"/>
      <c r="AS426" s="1"/>
      <c r="AT426" s="1"/>
      <c r="AV426" s="1"/>
      <c r="BC426" s="1"/>
      <c r="BD426" s="1"/>
      <c r="BE426" s="1"/>
      <c r="BF426" s="1"/>
      <c r="BG426" s="1"/>
      <c r="BH426" s="1"/>
      <c r="BI426" s="1"/>
      <c r="BJ426" s="1"/>
      <c r="BK426" s="1"/>
      <c r="BL426" s="1"/>
      <c r="BM426" s="1"/>
      <c r="BN426" s="1"/>
      <c r="BO426" s="1"/>
      <c r="BP426" s="1"/>
      <c r="BQ426" s="1"/>
      <c r="BR426" s="1"/>
      <c r="BS426" s="1"/>
      <c r="BT426" s="1"/>
      <c r="BU426" s="1"/>
      <c r="BV426" s="1"/>
      <c r="BW426" s="1"/>
      <c r="BX426" s="1"/>
      <c r="BY426" s="1"/>
      <c r="BZ426" s="1"/>
      <c r="CA426" s="1"/>
      <c r="CM426"/>
      <c r="CN426"/>
      <c r="CO426"/>
      <c r="CP426"/>
      <c r="CQ426"/>
      <c r="CR426"/>
    </row>
    <row r="427" spans="33:96">
      <c r="AG427" s="1"/>
      <c r="AH427" s="1"/>
      <c r="AI427" s="1"/>
      <c r="AJ427" s="1"/>
      <c r="AR427" s="1"/>
      <c r="AS427" s="1"/>
      <c r="AT427" s="1"/>
      <c r="AV427" s="1"/>
      <c r="BC427" s="1"/>
      <c r="BD427" s="1"/>
      <c r="BE427" s="1"/>
      <c r="BF427" s="1"/>
      <c r="BG427" s="1"/>
      <c r="BH427" s="1"/>
      <c r="BI427" s="1"/>
      <c r="BJ427" s="1"/>
      <c r="BK427" s="1"/>
      <c r="BL427" s="1"/>
      <c r="BM427" s="1"/>
      <c r="BN427" s="1"/>
      <c r="BO427" s="1"/>
      <c r="BP427" s="1"/>
      <c r="BQ427" s="1"/>
      <c r="BR427" s="1"/>
      <c r="BS427" s="1"/>
      <c r="BT427" s="1"/>
      <c r="BU427" s="1"/>
      <c r="BV427" s="1"/>
      <c r="BW427" s="1"/>
      <c r="BX427" s="1"/>
      <c r="BY427" s="1"/>
      <c r="BZ427" s="1"/>
      <c r="CA427" s="1"/>
      <c r="CM427"/>
      <c r="CN427"/>
      <c r="CO427"/>
      <c r="CP427"/>
      <c r="CQ427"/>
      <c r="CR427"/>
    </row>
    <row r="428" spans="33:96">
      <c r="AG428" s="1"/>
      <c r="AH428" s="1"/>
      <c r="AI428" s="1"/>
      <c r="AJ428" s="1"/>
      <c r="AR428" s="1"/>
      <c r="AS428" s="1"/>
      <c r="AT428" s="1"/>
      <c r="AV428" s="1"/>
      <c r="BC428" s="1"/>
      <c r="BD428" s="1"/>
      <c r="BE428" s="1"/>
      <c r="BF428" s="1"/>
      <c r="BG428" s="1"/>
      <c r="BH428" s="1"/>
      <c r="BI428" s="1"/>
      <c r="BJ428" s="1"/>
      <c r="BK428" s="1"/>
      <c r="BL428" s="1"/>
      <c r="BM428" s="1"/>
      <c r="BN428" s="1"/>
      <c r="BO428" s="1"/>
      <c r="BP428" s="1"/>
      <c r="BQ428" s="1"/>
      <c r="BR428" s="1"/>
      <c r="BS428" s="1"/>
      <c r="BT428" s="1"/>
      <c r="BU428" s="1"/>
      <c r="BV428" s="1"/>
      <c r="BW428" s="1"/>
      <c r="BX428" s="1"/>
      <c r="BY428" s="1"/>
      <c r="BZ428" s="1"/>
      <c r="CA428" s="1"/>
      <c r="CM428"/>
      <c r="CN428"/>
      <c r="CO428"/>
      <c r="CP428"/>
      <c r="CQ428"/>
      <c r="CR428"/>
    </row>
    <row r="429" spans="33:96">
      <c r="AG429" s="1"/>
      <c r="AH429" s="1"/>
      <c r="AI429" s="1"/>
      <c r="AJ429" s="1"/>
      <c r="AR429" s="1"/>
      <c r="AS429" s="1"/>
      <c r="AT429" s="1"/>
      <c r="AV429" s="1"/>
      <c r="BC429" s="1"/>
      <c r="BD429" s="1"/>
      <c r="BE429" s="1"/>
      <c r="BF429" s="1"/>
      <c r="BG429" s="1"/>
      <c r="BH429" s="1"/>
      <c r="BI429" s="1"/>
      <c r="BJ429" s="1"/>
      <c r="BK429" s="1"/>
      <c r="BL429" s="1"/>
      <c r="BM429" s="1"/>
      <c r="BN429" s="1"/>
      <c r="BO429" s="1"/>
      <c r="BP429" s="1"/>
      <c r="BQ429" s="1"/>
      <c r="BR429" s="1"/>
      <c r="BS429" s="1"/>
      <c r="BT429" s="1"/>
      <c r="BU429" s="1"/>
      <c r="BV429" s="1"/>
      <c r="BW429" s="1"/>
      <c r="BX429" s="1"/>
      <c r="BY429" s="1"/>
      <c r="BZ429" s="1"/>
      <c r="CA429" s="1"/>
      <c r="CM429"/>
      <c r="CN429"/>
      <c r="CO429"/>
      <c r="CP429"/>
      <c r="CQ429"/>
      <c r="CR429"/>
    </row>
    <row r="430" spans="33:96">
      <c r="AG430" s="1"/>
      <c r="AH430" s="1"/>
      <c r="AI430" s="1"/>
      <c r="AJ430" s="1"/>
      <c r="AR430" s="1"/>
      <c r="AS430" s="1"/>
      <c r="AT430" s="1"/>
      <c r="AV430" s="1"/>
      <c r="BC430" s="1"/>
      <c r="BD430" s="1"/>
      <c r="BE430" s="1"/>
      <c r="BF430" s="1"/>
      <c r="BG430" s="1"/>
      <c r="BH430" s="1"/>
      <c r="BI430" s="1"/>
      <c r="BJ430" s="1"/>
      <c r="BK430" s="1"/>
      <c r="BL430" s="1"/>
      <c r="BM430" s="1"/>
      <c r="BN430" s="1"/>
      <c r="BO430" s="1"/>
      <c r="BP430" s="1"/>
      <c r="BQ430" s="1"/>
      <c r="BR430" s="1"/>
      <c r="BS430" s="1"/>
      <c r="BT430" s="1"/>
      <c r="BU430" s="1"/>
      <c r="BV430" s="1"/>
      <c r="BW430" s="1"/>
      <c r="BX430" s="1"/>
      <c r="BY430" s="1"/>
      <c r="BZ430" s="1"/>
      <c r="CA430" s="1"/>
      <c r="CM430"/>
      <c r="CN430"/>
      <c r="CO430"/>
      <c r="CP430"/>
      <c r="CQ430"/>
      <c r="CR430"/>
    </row>
    <row r="431" spans="33:96">
      <c r="AG431" s="1"/>
      <c r="AH431" s="1"/>
      <c r="AI431" s="1"/>
      <c r="AJ431" s="1"/>
      <c r="AR431" s="1"/>
      <c r="AS431" s="1"/>
      <c r="AT431" s="1"/>
      <c r="AV431" s="1"/>
      <c r="BC431" s="1"/>
      <c r="BD431" s="1"/>
      <c r="BE431" s="1"/>
      <c r="BF431" s="1"/>
      <c r="BG431" s="1"/>
      <c r="BH431" s="1"/>
      <c r="BI431" s="1"/>
      <c r="BJ431" s="1"/>
      <c r="BK431" s="1"/>
      <c r="BL431" s="1"/>
      <c r="BM431" s="1"/>
      <c r="BN431" s="1"/>
      <c r="BO431" s="1"/>
      <c r="BP431" s="1"/>
      <c r="BQ431" s="1"/>
      <c r="BR431" s="1"/>
      <c r="BS431" s="1"/>
      <c r="BT431" s="1"/>
      <c r="BU431" s="1"/>
      <c r="BV431" s="1"/>
      <c r="BW431" s="1"/>
      <c r="BX431" s="1"/>
      <c r="BY431" s="1"/>
      <c r="BZ431" s="1"/>
      <c r="CA431" s="1"/>
      <c r="CM431"/>
      <c r="CN431"/>
      <c r="CO431"/>
      <c r="CP431"/>
      <c r="CQ431"/>
      <c r="CR431"/>
    </row>
    <row r="432" spans="33:96">
      <c r="AG432" s="1"/>
      <c r="AH432" s="1"/>
      <c r="AI432" s="1"/>
      <c r="AJ432" s="1"/>
      <c r="AR432" s="1"/>
      <c r="AS432" s="1"/>
      <c r="AT432" s="1"/>
      <c r="AV432" s="1"/>
      <c r="BC432" s="1"/>
      <c r="BD432" s="1"/>
      <c r="BE432" s="1"/>
      <c r="BF432" s="1"/>
      <c r="BG432" s="1"/>
      <c r="BH432" s="1"/>
      <c r="BI432" s="1"/>
      <c r="BJ432" s="1"/>
      <c r="BK432" s="1"/>
      <c r="BL432" s="1"/>
      <c r="BM432" s="1"/>
      <c r="BN432" s="1"/>
      <c r="BO432" s="1"/>
      <c r="BP432" s="1"/>
      <c r="BQ432" s="1"/>
      <c r="BR432" s="1"/>
      <c r="BS432" s="1"/>
      <c r="BT432" s="1"/>
      <c r="BU432" s="1"/>
      <c r="BV432" s="1"/>
      <c r="BW432" s="1"/>
      <c r="BX432" s="1"/>
      <c r="BY432" s="1"/>
      <c r="BZ432" s="1"/>
      <c r="CA432" s="1"/>
      <c r="CM432"/>
      <c r="CN432"/>
      <c r="CO432"/>
      <c r="CP432"/>
      <c r="CQ432"/>
      <c r="CR432"/>
    </row>
    <row r="433" spans="33:96">
      <c r="AG433" s="1"/>
      <c r="AH433" s="1"/>
      <c r="AI433" s="1"/>
      <c r="AJ433" s="1"/>
      <c r="AR433" s="1"/>
      <c r="AS433" s="1"/>
      <c r="AT433" s="1"/>
      <c r="AV433" s="1"/>
      <c r="BC433" s="1"/>
      <c r="BD433" s="1"/>
      <c r="BE433" s="1"/>
      <c r="BF433" s="1"/>
      <c r="BG433" s="1"/>
      <c r="BH433" s="1"/>
      <c r="BI433" s="1"/>
      <c r="BJ433" s="1"/>
      <c r="BK433" s="1"/>
      <c r="BL433" s="1"/>
      <c r="BM433" s="1"/>
      <c r="BN433" s="1"/>
      <c r="BO433" s="1"/>
      <c r="BP433" s="1"/>
      <c r="BQ433" s="1"/>
      <c r="BR433" s="1"/>
      <c r="BS433" s="1"/>
      <c r="BT433" s="1"/>
      <c r="BU433" s="1"/>
      <c r="BV433" s="1"/>
      <c r="BW433" s="1"/>
      <c r="BX433" s="1"/>
      <c r="BY433" s="1"/>
      <c r="BZ433" s="1"/>
      <c r="CA433" s="1"/>
      <c r="CM433"/>
      <c r="CN433"/>
      <c r="CO433"/>
      <c r="CP433"/>
      <c r="CQ433"/>
      <c r="CR433"/>
    </row>
    <row r="434" spans="33:96">
      <c r="AG434" s="1"/>
      <c r="AH434" s="1"/>
      <c r="AI434" s="1"/>
      <c r="AJ434" s="1"/>
      <c r="AR434" s="1"/>
      <c r="AS434" s="1"/>
      <c r="AT434" s="1"/>
      <c r="AV434" s="1"/>
      <c r="BC434" s="1"/>
      <c r="BD434" s="1"/>
      <c r="BE434" s="1"/>
      <c r="BF434" s="1"/>
      <c r="BG434" s="1"/>
      <c r="BH434" s="1"/>
      <c r="BI434" s="1"/>
      <c r="BJ434" s="1"/>
      <c r="BK434" s="1"/>
      <c r="BL434" s="1"/>
      <c r="BM434" s="1"/>
      <c r="BN434" s="1"/>
      <c r="BO434" s="1"/>
      <c r="BP434" s="1"/>
      <c r="BQ434" s="1"/>
      <c r="BR434" s="1"/>
      <c r="BS434" s="1"/>
      <c r="BT434" s="1"/>
      <c r="BU434" s="1"/>
      <c r="BV434" s="1"/>
      <c r="BW434" s="1"/>
      <c r="BX434" s="1"/>
      <c r="BY434" s="1"/>
      <c r="BZ434" s="1"/>
      <c r="CA434" s="1"/>
      <c r="CM434"/>
      <c r="CN434"/>
      <c r="CO434"/>
      <c r="CP434"/>
      <c r="CQ434"/>
      <c r="CR434"/>
    </row>
    <row r="435" spans="33:96">
      <c r="AG435" s="1"/>
      <c r="AH435" s="1"/>
      <c r="AI435" s="1"/>
      <c r="AJ435" s="1"/>
      <c r="AR435" s="1"/>
      <c r="AS435" s="1"/>
      <c r="AT435" s="1"/>
      <c r="AV435" s="1"/>
      <c r="BC435" s="1"/>
      <c r="BD435" s="1"/>
      <c r="BE435" s="1"/>
      <c r="BF435" s="1"/>
      <c r="BG435" s="1"/>
      <c r="BH435" s="1"/>
      <c r="BI435" s="1"/>
      <c r="BJ435" s="1"/>
      <c r="BK435" s="1"/>
      <c r="BL435" s="1"/>
      <c r="BM435" s="1"/>
      <c r="BN435" s="1"/>
      <c r="BO435" s="1"/>
      <c r="BP435" s="1"/>
      <c r="BQ435" s="1"/>
      <c r="BR435" s="1"/>
      <c r="BS435" s="1"/>
      <c r="BT435" s="1"/>
      <c r="BU435" s="1"/>
      <c r="BV435" s="1"/>
      <c r="BW435" s="1"/>
      <c r="BX435" s="1"/>
      <c r="BY435" s="1"/>
      <c r="BZ435" s="1"/>
      <c r="CA435" s="1"/>
      <c r="CM435"/>
      <c r="CN435"/>
      <c r="CO435"/>
      <c r="CP435"/>
      <c r="CQ435"/>
      <c r="CR435"/>
    </row>
    <row r="436" spans="33:96">
      <c r="AG436" s="1"/>
      <c r="AH436" s="1"/>
      <c r="AI436" s="1"/>
      <c r="AJ436" s="1"/>
      <c r="AR436" s="1"/>
      <c r="AS436" s="1"/>
      <c r="AT436" s="1"/>
      <c r="AV436" s="1"/>
      <c r="BC436" s="1"/>
      <c r="BD436" s="1"/>
      <c r="BE436" s="1"/>
      <c r="BF436" s="1"/>
      <c r="BG436" s="1"/>
      <c r="BH436" s="1"/>
      <c r="BI436" s="1"/>
      <c r="BJ436" s="1"/>
      <c r="BK436" s="1"/>
      <c r="BL436" s="1"/>
      <c r="BM436" s="1"/>
      <c r="BN436" s="1"/>
      <c r="BO436" s="1"/>
      <c r="BP436" s="1"/>
      <c r="BQ436" s="1"/>
      <c r="BR436" s="1"/>
      <c r="BS436" s="1"/>
      <c r="BT436" s="1"/>
      <c r="BU436" s="1"/>
      <c r="BV436" s="1"/>
      <c r="BW436" s="1"/>
      <c r="BX436" s="1"/>
      <c r="BY436" s="1"/>
      <c r="BZ436" s="1"/>
      <c r="CA436" s="1"/>
      <c r="CM436"/>
      <c r="CN436"/>
      <c r="CO436"/>
      <c r="CP436"/>
      <c r="CQ436"/>
      <c r="CR436"/>
    </row>
    <row r="437" spans="33:96">
      <c r="AG437" s="1"/>
      <c r="AH437" s="1"/>
      <c r="AI437" s="1"/>
      <c r="AJ437" s="1"/>
      <c r="AR437" s="1"/>
      <c r="AS437" s="1"/>
      <c r="AT437" s="1"/>
      <c r="AV437" s="1"/>
      <c r="BC437" s="1"/>
      <c r="BD437" s="1"/>
      <c r="BE437" s="1"/>
      <c r="BF437" s="1"/>
      <c r="BG437" s="1"/>
      <c r="BH437" s="1"/>
      <c r="BI437" s="1"/>
      <c r="BJ437" s="1"/>
      <c r="BK437" s="1"/>
      <c r="BL437" s="1"/>
      <c r="BM437" s="1"/>
      <c r="BN437" s="1"/>
      <c r="BO437" s="1"/>
      <c r="BP437" s="1"/>
      <c r="BQ437" s="1"/>
      <c r="BR437" s="1"/>
      <c r="BS437" s="1"/>
      <c r="BT437" s="1"/>
      <c r="BU437" s="1"/>
      <c r="BV437" s="1"/>
      <c r="BW437" s="1"/>
      <c r="BX437" s="1"/>
      <c r="BY437" s="1"/>
      <c r="BZ437" s="1"/>
      <c r="CA437" s="1"/>
      <c r="CM437"/>
      <c r="CN437"/>
      <c r="CO437"/>
      <c r="CP437"/>
      <c r="CQ437"/>
      <c r="CR437"/>
    </row>
    <row r="438" spans="33:96">
      <c r="AG438" s="1"/>
      <c r="AH438" s="1"/>
      <c r="AI438" s="1"/>
      <c r="AJ438" s="1"/>
      <c r="AR438" s="1"/>
      <c r="AS438" s="1"/>
      <c r="AT438" s="1"/>
      <c r="AV438" s="1"/>
      <c r="BC438" s="1"/>
      <c r="BD438" s="1"/>
      <c r="BE438" s="1"/>
      <c r="BF438" s="1"/>
      <c r="BG438" s="1"/>
      <c r="BH438" s="1"/>
      <c r="BI438" s="1"/>
      <c r="BJ438" s="1"/>
      <c r="BK438" s="1"/>
      <c r="BL438" s="1"/>
      <c r="BM438" s="1"/>
      <c r="BN438" s="1"/>
      <c r="BO438" s="1"/>
      <c r="BP438" s="1"/>
      <c r="BQ438" s="1"/>
      <c r="BR438" s="1"/>
      <c r="BS438" s="1"/>
      <c r="BT438" s="1"/>
      <c r="BU438" s="1"/>
      <c r="BV438" s="1"/>
      <c r="BW438" s="1"/>
      <c r="BX438" s="1"/>
      <c r="BY438" s="1"/>
      <c r="BZ438" s="1"/>
      <c r="CA438" s="1"/>
      <c r="CM438"/>
      <c r="CN438"/>
      <c r="CO438"/>
      <c r="CP438"/>
      <c r="CQ438"/>
      <c r="CR438"/>
    </row>
    <row r="439" spans="33:96">
      <c r="AG439" s="1"/>
      <c r="AH439" s="1"/>
      <c r="AI439" s="1"/>
      <c r="AJ439" s="1"/>
      <c r="AR439" s="1"/>
      <c r="AS439" s="1"/>
      <c r="AT439" s="1"/>
      <c r="AV439" s="1"/>
      <c r="BC439" s="1"/>
      <c r="BD439" s="1"/>
      <c r="BE439" s="1"/>
      <c r="BF439" s="1"/>
      <c r="BG439" s="1"/>
      <c r="BH439" s="1"/>
      <c r="BI439" s="1"/>
      <c r="BJ439" s="1"/>
      <c r="BK439" s="1"/>
      <c r="BL439" s="1"/>
      <c r="BM439" s="1"/>
      <c r="BN439" s="1"/>
      <c r="BO439" s="1"/>
      <c r="BP439" s="1"/>
      <c r="BQ439" s="1"/>
      <c r="BR439" s="1"/>
      <c r="BS439" s="1"/>
      <c r="BT439" s="1"/>
      <c r="BU439" s="1"/>
      <c r="BV439" s="1"/>
      <c r="BW439" s="1"/>
      <c r="BX439" s="1"/>
      <c r="BY439" s="1"/>
      <c r="BZ439" s="1"/>
      <c r="CA439" s="1"/>
      <c r="CM439"/>
      <c r="CN439"/>
      <c r="CO439"/>
      <c r="CP439"/>
      <c r="CQ439"/>
      <c r="CR439"/>
    </row>
    <row r="440" spans="33:96">
      <c r="AG440" s="1"/>
      <c r="AH440" s="1"/>
      <c r="AI440" s="1"/>
      <c r="AJ440" s="1"/>
      <c r="AR440" s="1"/>
      <c r="AS440" s="1"/>
      <c r="AT440" s="1"/>
      <c r="AV440" s="1"/>
      <c r="BC440" s="1"/>
      <c r="BD440" s="1"/>
      <c r="BE440" s="1"/>
      <c r="BF440" s="1"/>
      <c r="BG440" s="1"/>
      <c r="BH440" s="1"/>
      <c r="BI440" s="1"/>
      <c r="BJ440" s="1"/>
      <c r="BK440" s="1"/>
      <c r="BL440" s="1"/>
      <c r="BM440" s="1"/>
      <c r="BN440" s="1"/>
      <c r="BO440" s="1"/>
      <c r="BP440" s="1"/>
      <c r="BQ440" s="1"/>
      <c r="BR440" s="1"/>
      <c r="BS440" s="1"/>
      <c r="BT440" s="1"/>
      <c r="BU440" s="1"/>
      <c r="BV440" s="1"/>
      <c r="BW440" s="1"/>
      <c r="BX440" s="1"/>
      <c r="BY440" s="1"/>
      <c r="BZ440" s="1"/>
      <c r="CA440" s="1"/>
      <c r="CM440"/>
      <c r="CN440"/>
      <c r="CO440"/>
      <c r="CP440"/>
      <c r="CQ440"/>
      <c r="CR440"/>
    </row>
    <row r="441" spans="33:96">
      <c r="AG441" s="1"/>
      <c r="AH441" s="1"/>
      <c r="AI441" s="1"/>
      <c r="AJ441" s="1"/>
      <c r="AR441" s="1"/>
      <c r="AS441" s="1"/>
      <c r="AT441" s="1"/>
      <c r="AV441" s="1"/>
      <c r="BC441" s="1"/>
      <c r="BD441" s="1"/>
      <c r="BE441" s="1"/>
      <c r="BF441" s="1"/>
      <c r="BG441" s="1"/>
      <c r="BH441" s="1"/>
      <c r="BI441" s="1"/>
      <c r="BJ441" s="1"/>
      <c r="BK441" s="1"/>
      <c r="BL441" s="1"/>
      <c r="BM441" s="1"/>
      <c r="BN441" s="1"/>
      <c r="BO441" s="1"/>
      <c r="BP441" s="1"/>
      <c r="BQ441" s="1"/>
      <c r="BR441" s="1"/>
      <c r="BS441" s="1"/>
      <c r="BT441" s="1"/>
      <c r="BU441" s="1"/>
      <c r="BV441" s="1"/>
      <c r="BW441" s="1"/>
      <c r="BX441" s="1"/>
      <c r="BY441" s="1"/>
      <c r="BZ441" s="1"/>
      <c r="CA441" s="1"/>
      <c r="CM441"/>
      <c r="CN441"/>
      <c r="CO441"/>
      <c r="CP441"/>
      <c r="CQ441"/>
      <c r="CR441"/>
    </row>
    <row r="442" spans="33:96">
      <c r="AG442" s="1"/>
      <c r="AH442" s="1"/>
      <c r="AI442" s="1"/>
      <c r="AJ442" s="1"/>
      <c r="AR442" s="1"/>
      <c r="AS442" s="1"/>
      <c r="AT442" s="1"/>
      <c r="AV442" s="1"/>
      <c r="BC442" s="1"/>
      <c r="BD442" s="1"/>
      <c r="BE442" s="1"/>
      <c r="BF442" s="1"/>
      <c r="BG442" s="1"/>
      <c r="BH442" s="1"/>
      <c r="BI442" s="1"/>
      <c r="BJ442" s="1"/>
      <c r="BK442" s="1"/>
      <c r="BL442" s="1"/>
      <c r="BM442" s="1"/>
      <c r="BN442" s="1"/>
      <c r="BO442" s="1"/>
      <c r="BP442" s="1"/>
      <c r="BQ442" s="1"/>
      <c r="BR442" s="1"/>
      <c r="BS442" s="1"/>
      <c r="BT442" s="1"/>
      <c r="BU442" s="1"/>
      <c r="BV442" s="1"/>
      <c r="BW442" s="1"/>
      <c r="BX442" s="1"/>
      <c r="BY442" s="1"/>
      <c r="BZ442" s="1"/>
      <c r="CA442" s="1"/>
      <c r="CM442"/>
      <c r="CN442"/>
      <c r="CO442"/>
      <c r="CP442"/>
      <c r="CQ442"/>
      <c r="CR442"/>
    </row>
    <row r="443" spans="33:96">
      <c r="AG443" s="1"/>
      <c r="AH443" s="1"/>
      <c r="AI443" s="1"/>
      <c r="AJ443" s="1"/>
      <c r="AR443" s="1"/>
      <c r="AS443" s="1"/>
      <c r="AT443" s="1"/>
      <c r="AV443" s="1"/>
      <c r="BC443" s="1"/>
      <c r="BD443" s="1"/>
      <c r="BE443" s="1"/>
      <c r="BF443" s="1"/>
      <c r="BG443" s="1"/>
      <c r="BH443" s="1"/>
      <c r="BI443" s="1"/>
      <c r="BJ443" s="1"/>
      <c r="BK443" s="1"/>
      <c r="BL443" s="1"/>
      <c r="BM443" s="1"/>
      <c r="BN443" s="1"/>
      <c r="BO443" s="1"/>
      <c r="BP443" s="1"/>
      <c r="BQ443" s="1"/>
      <c r="BR443" s="1"/>
      <c r="BS443" s="1"/>
      <c r="BT443" s="1"/>
      <c r="BU443" s="1"/>
      <c r="BV443" s="1"/>
      <c r="BW443" s="1"/>
      <c r="BX443" s="1"/>
      <c r="BY443" s="1"/>
      <c r="BZ443" s="1"/>
      <c r="CA443" s="1"/>
      <c r="CM443"/>
      <c r="CN443"/>
      <c r="CO443"/>
      <c r="CP443"/>
      <c r="CQ443"/>
      <c r="CR443"/>
    </row>
    <row r="444" spans="33:96">
      <c r="AG444" s="1"/>
      <c r="AH444" s="1"/>
      <c r="AI444" s="1"/>
      <c r="AJ444" s="1"/>
      <c r="AR444" s="1"/>
      <c r="AS444" s="1"/>
      <c r="AT444" s="1"/>
      <c r="AV444" s="1"/>
      <c r="BC444" s="1"/>
      <c r="BD444" s="1"/>
      <c r="BE444" s="1"/>
      <c r="BF444" s="1"/>
      <c r="BG444" s="1"/>
      <c r="BH444" s="1"/>
      <c r="BI444" s="1"/>
      <c r="BJ444" s="1"/>
      <c r="BK444" s="1"/>
      <c r="BL444" s="1"/>
      <c r="BM444" s="1"/>
      <c r="BN444" s="1"/>
      <c r="BO444" s="1"/>
      <c r="BP444" s="1"/>
      <c r="BQ444" s="1"/>
      <c r="BR444" s="1"/>
      <c r="BS444" s="1"/>
      <c r="BT444" s="1"/>
      <c r="BU444" s="1"/>
      <c r="BV444" s="1"/>
      <c r="BW444" s="1"/>
      <c r="BX444" s="1"/>
      <c r="BY444" s="1"/>
      <c r="BZ444" s="1"/>
      <c r="CA444" s="1"/>
      <c r="CM444"/>
      <c r="CN444"/>
      <c r="CO444"/>
      <c r="CP444"/>
      <c r="CQ444"/>
      <c r="CR444"/>
    </row>
    <row r="445" spans="33:96">
      <c r="AG445" s="1"/>
      <c r="AH445" s="1"/>
      <c r="AI445" s="1"/>
      <c r="AJ445" s="1"/>
      <c r="AR445" s="1"/>
      <c r="AS445" s="1"/>
      <c r="AT445" s="1"/>
      <c r="AV445" s="1"/>
      <c r="BC445" s="1"/>
      <c r="BD445" s="1"/>
      <c r="BE445" s="1"/>
      <c r="BF445" s="1"/>
      <c r="BG445" s="1"/>
      <c r="BH445" s="1"/>
      <c r="BI445" s="1"/>
      <c r="BJ445" s="1"/>
      <c r="BK445" s="1"/>
      <c r="BL445" s="1"/>
      <c r="BM445" s="1"/>
      <c r="BN445" s="1"/>
      <c r="BO445" s="1"/>
      <c r="BP445" s="1"/>
      <c r="BQ445" s="1"/>
      <c r="BR445" s="1"/>
      <c r="BS445" s="1"/>
      <c r="BT445" s="1"/>
      <c r="BU445" s="1"/>
      <c r="BV445" s="1"/>
      <c r="BW445" s="1"/>
      <c r="BX445" s="1"/>
      <c r="BY445" s="1"/>
      <c r="BZ445" s="1"/>
      <c r="CA445" s="1"/>
      <c r="CM445"/>
      <c r="CN445"/>
      <c r="CO445"/>
      <c r="CP445"/>
      <c r="CQ445"/>
      <c r="CR445"/>
    </row>
    <row r="446" spans="33:96">
      <c r="AG446" s="1"/>
      <c r="AH446" s="1"/>
      <c r="AI446" s="1"/>
      <c r="AJ446" s="1"/>
      <c r="AR446" s="1"/>
      <c r="AS446" s="1"/>
      <c r="AT446" s="1"/>
      <c r="AV446" s="1"/>
      <c r="BC446" s="1"/>
      <c r="BD446" s="1"/>
      <c r="BE446" s="1"/>
      <c r="BF446" s="1"/>
      <c r="BG446" s="1"/>
      <c r="BH446" s="1"/>
      <c r="BI446" s="1"/>
      <c r="BJ446" s="1"/>
      <c r="BK446" s="1"/>
      <c r="BL446" s="1"/>
      <c r="BM446" s="1"/>
      <c r="BN446" s="1"/>
      <c r="BO446" s="1"/>
      <c r="BP446" s="1"/>
      <c r="BQ446" s="1"/>
      <c r="BR446" s="1"/>
      <c r="BS446" s="1"/>
      <c r="BT446" s="1"/>
      <c r="BU446" s="1"/>
      <c r="BV446" s="1"/>
      <c r="BW446" s="1"/>
      <c r="BX446" s="1"/>
      <c r="BY446" s="1"/>
      <c r="BZ446" s="1"/>
      <c r="CA446" s="1"/>
      <c r="CM446"/>
      <c r="CN446"/>
      <c r="CO446"/>
      <c r="CP446"/>
      <c r="CQ446"/>
      <c r="CR446"/>
    </row>
    <row r="447" spans="33:96">
      <c r="AG447" s="1"/>
      <c r="AH447" s="1"/>
      <c r="AI447" s="1"/>
      <c r="AJ447" s="1"/>
      <c r="AR447" s="1"/>
      <c r="AS447" s="1"/>
      <c r="AT447" s="1"/>
      <c r="AV447" s="1"/>
      <c r="BC447" s="1"/>
      <c r="BD447" s="1"/>
      <c r="BE447" s="1"/>
      <c r="BF447" s="1"/>
      <c r="BG447" s="1"/>
      <c r="BH447" s="1"/>
      <c r="BI447" s="1"/>
      <c r="BJ447" s="1"/>
      <c r="BK447" s="1"/>
      <c r="BL447" s="1"/>
      <c r="BM447" s="1"/>
      <c r="BN447" s="1"/>
      <c r="BO447" s="1"/>
      <c r="BP447" s="1"/>
      <c r="BQ447" s="1"/>
      <c r="BR447" s="1"/>
      <c r="BS447" s="1"/>
      <c r="BT447" s="1"/>
      <c r="BU447" s="1"/>
      <c r="BV447" s="1"/>
      <c r="BW447" s="1"/>
      <c r="BX447" s="1"/>
      <c r="BY447" s="1"/>
      <c r="BZ447" s="1"/>
      <c r="CA447" s="1"/>
      <c r="CM447"/>
      <c r="CN447"/>
      <c r="CO447"/>
      <c r="CP447"/>
      <c r="CQ447"/>
      <c r="CR447"/>
    </row>
    <row r="448" spans="33:96">
      <c r="AG448" s="1"/>
      <c r="AH448" s="1"/>
      <c r="AI448" s="1"/>
      <c r="AJ448" s="1"/>
      <c r="AR448" s="1"/>
      <c r="AS448" s="1"/>
      <c r="AT448" s="1"/>
      <c r="AV448" s="1"/>
      <c r="BC448" s="1"/>
      <c r="BD448" s="1"/>
      <c r="BE448" s="1"/>
      <c r="BF448" s="1"/>
      <c r="BG448" s="1"/>
      <c r="BH448" s="1"/>
      <c r="BI448" s="1"/>
      <c r="BJ448" s="1"/>
      <c r="BK448" s="1"/>
      <c r="BL448" s="1"/>
      <c r="BM448" s="1"/>
      <c r="BN448" s="1"/>
      <c r="BO448" s="1"/>
      <c r="BP448" s="1"/>
      <c r="BQ448" s="1"/>
      <c r="BR448" s="1"/>
      <c r="BS448" s="1"/>
      <c r="BT448" s="1"/>
      <c r="BU448" s="1"/>
      <c r="BV448" s="1"/>
      <c r="BW448" s="1"/>
      <c r="BX448" s="1"/>
      <c r="BY448" s="1"/>
      <c r="BZ448" s="1"/>
      <c r="CA448" s="1"/>
      <c r="CM448"/>
      <c r="CN448"/>
      <c r="CO448"/>
      <c r="CP448"/>
      <c r="CQ448"/>
      <c r="CR448"/>
    </row>
    <row r="449" spans="33:96">
      <c r="AG449" s="1"/>
      <c r="AH449" s="1"/>
      <c r="AI449" s="1"/>
      <c r="AJ449" s="1"/>
      <c r="AR449" s="1"/>
      <c r="AS449" s="1"/>
      <c r="AT449" s="1"/>
      <c r="AV449" s="1"/>
      <c r="BC449" s="1"/>
      <c r="BD449" s="1"/>
      <c r="BE449" s="1"/>
      <c r="BF449" s="1"/>
      <c r="BG449" s="1"/>
      <c r="BH449" s="1"/>
      <c r="BI449" s="1"/>
      <c r="BJ449" s="1"/>
      <c r="BK449" s="1"/>
      <c r="BL449" s="1"/>
      <c r="BM449" s="1"/>
      <c r="BN449" s="1"/>
      <c r="BO449" s="1"/>
      <c r="BP449" s="1"/>
      <c r="BQ449" s="1"/>
      <c r="BR449" s="1"/>
      <c r="BS449" s="1"/>
      <c r="BT449" s="1"/>
      <c r="BU449" s="1"/>
      <c r="BV449" s="1"/>
      <c r="BW449" s="1"/>
      <c r="BX449" s="1"/>
      <c r="BY449" s="1"/>
      <c r="BZ449" s="1"/>
      <c r="CA449" s="1"/>
      <c r="CM449"/>
      <c r="CN449"/>
      <c r="CO449"/>
      <c r="CP449"/>
      <c r="CQ449"/>
      <c r="CR449"/>
    </row>
    <row r="450" spans="33:96">
      <c r="AG450" s="1"/>
      <c r="AH450" s="1"/>
      <c r="AI450" s="1"/>
      <c r="AJ450" s="1"/>
      <c r="AR450" s="1"/>
      <c r="AS450" s="1"/>
      <c r="AT450" s="1"/>
      <c r="AV450" s="1"/>
      <c r="BC450" s="1"/>
      <c r="BD450" s="1"/>
      <c r="BE450" s="1"/>
      <c r="BF450" s="1"/>
      <c r="BG450" s="1"/>
      <c r="BH450" s="1"/>
      <c r="BI450" s="1"/>
      <c r="BJ450" s="1"/>
      <c r="BK450" s="1"/>
      <c r="BL450" s="1"/>
      <c r="BM450" s="1"/>
      <c r="BN450" s="1"/>
      <c r="BO450" s="1"/>
      <c r="BP450" s="1"/>
      <c r="BQ450" s="1"/>
      <c r="BR450" s="1"/>
      <c r="BS450" s="1"/>
      <c r="BT450" s="1"/>
      <c r="BU450" s="1"/>
      <c r="BV450" s="1"/>
      <c r="BW450" s="1"/>
      <c r="BX450" s="1"/>
      <c r="BY450" s="1"/>
      <c r="BZ450" s="1"/>
      <c r="CA450" s="1"/>
      <c r="CM450"/>
      <c r="CN450"/>
      <c r="CO450"/>
      <c r="CP450"/>
      <c r="CQ450"/>
      <c r="CR450"/>
    </row>
    <row r="451" spans="33:96">
      <c r="AG451" s="1"/>
      <c r="AH451" s="1"/>
      <c r="AI451" s="1"/>
      <c r="AJ451" s="1"/>
      <c r="AR451" s="1"/>
      <c r="AS451" s="1"/>
      <c r="AT451" s="1"/>
      <c r="AV451" s="1"/>
      <c r="BC451" s="1"/>
      <c r="BD451" s="1"/>
      <c r="BE451" s="1"/>
      <c r="BF451" s="1"/>
      <c r="BG451" s="1"/>
      <c r="BH451" s="1"/>
      <c r="BI451" s="1"/>
      <c r="BJ451" s="1"/>
      <c r="BK451" s="1"/>
      <c r="BL451" s="1"/>
      <c r="BM451" s="1"/>
      <c r="BN451" s="1"/>
      <c r="BO451" s="1"/>
      <c r="BP451" s="1"/>
      <c r="BQ451" s="1"/>
      <c r="BR451" s="1"/>
      <c r="BS451" s="1"/>
      <c r="BT451" s="1"/>
      <c r="BU451" s="1"/>
      <c r="BV451" s="1"/>
      <c r="BW451" s="1"/>
      <c r="BX451" s="1"/>
      <c r="BY451" s="1"/>
      <c r="BZ451" s="1"/>
      <c r="CA451" s="1"/>
      <c r="CM451"/>
      <c r="CN451"/>
      <c r="CO451"/>
      <c r="CP451"/>
      <c r="CQ451"/>
      <c r="CR451"/>
    </row>
    <row r="452" spans="33:96">
      <c r="AG452" s="1"/>
      <c r="AH452" s="1"/>
      <c r="AI452" s="1"/>
      <c r="AJ452" s="1"/>
      <c r="AR452" s="1"/>
      <c r="AS452" s="1"/>
      <c r="AT452" s="1"/>
      <c r="AV452" s="1"/>
      <c r="BC452" s="1"/>
      <c r="BD452" s="1"/>
      <c r="BE452" s="1"/>
      <c r="BF452" s="1"/>
      <c r="BG452" s="1"/>
      <c r="BH452" s="1"/>
      <c r="BI452" s="1"/>
      <c r="BJ452" s="1"/>
      <c r="BK452" s="1"/>
      <c r="BL452" s="1"/>
      <c r="BM452" s="1"/>
      <c r="BN452" s="1"/>
      <c r="BO452" s="1"/>
      <c r="BP452" s="1"/>
      <c r="BQ452" s="1"/>
      <c r="BR452" s="1"/>
      <c r="BS452" s="1"/>
      <c r="BT452" s="1"/>
      <c r="BU452" s="1"/>
      <c r="BV452" s="1"/>
      <c r="BW452" s="1"/>
      <c r="BX452" s="1"/>
      <c r="BY452" s="1"/>
      <c r="BZ452" s="1"/>
      <c r="CA452" s="1"/>
      <c r="CM452"/>
      <c r="CN452"/>
      <c r="CO452"/>
      <c r="CP452"/>
      <c r="CQ452"/>
      <c r="CR452"/>
    </row>
    <row r="453" spans="33:96">
      <c r="AG453" s="1"/>
      <c r="AH453" s="1"/>
      <c r="AI453" s="1"/>
      <c r="AJ453" s="1"/>
      <c r="AR453" s="1"/>
      <c r="AS453" s="1"/>
      <c r="AT453" s="1"/>
      <c r="AV453" s="1"/>
      <c r="BC453" s="1"/>
      <c r="BD453" s="1"/>
      <c r="BE453" s="1"/>
      <c r="BF453" s="1"/>
      <c r="BG453" s="1"/>
      <c r="BH453" s="1"/>
      <c r="BI453" s="1"/>
      <c r="BJ453" s="1"/>
      <c r="BK453" s="1"/>
      <c r="BL453" s="1"/>
      <c r="BM453" s="1"/>
      <c r="BN453" s="1"/>
      <c r="BO453" s="1"/>
      <c r="BP453" s="1"/>
      <c r="BQ453" s="1"/>
      <c r="BR453" s="1"/>
      <c r="BS453" s="1"/>
      <c r="BT453" s="1"/>
      <c r="BU453" s="1"/>
      <c r="BV453" s="1"/>
      <c r="BW453" s="1"/>
      <c r="BX453" s="1"/>
      <c r="BY453" s="1"/>
      <c r="BZ453" s="1"/>
      <c r="CA453" s="1"/>
      <c r="CM453"/>
      <c r="CN453"/>
      <c r="CO453"/>
      <c r="CP453"/>
      <c r="CQ453"/>
      <c r="CR453"/>
    </row>
    <row r="454" spans="33:96">
      <c r="AG454" s="1"/>
      <c r="AH454" s="1"/>
      <c r="AI454" s="1"/>
      <c r="AJ454" s="1"/>
      <c r="AR454" s="1"/>
      <c r="AS454" s="1"/>
      <c r="AT454" s="1"/>
      <c r="AV454" s="1"/>
      <c r="BC454" s="1"/>
      <c r="BD454" s="1"/>
      <c r="BE454" s="1"/>
      <c r="BF454" s="1"/>
      <c r="BG454" s="1"/>
      <c r="BH454" s="1"/>
      <c r="BI454" s="1"/>
      <c r="BJ454" s="1"/>
      <c r="BK454" s="1"/>
      <c r="BL454" s="1"/>
      <c r="BM454" s="1"/>
      <c r="BN454" s="1"/>
      <c r="BO454" s="1"/>
      <c r="BP454" s="1"/>
      <c r="BQ454" s="1"/>
      <c r="BR454" s="1"/>
      <c r="BS454" s="1"/>
      <c r="BT454" s="1"/>
      <c r="BU454" s="1"/>
      <c r="BV454" s="1"/>
      <c r="BW454" s="1"/>
      <c r="BX454" s="1"/>
      <c r="BY454" s="1"/>
      <c r="BZ454" s="1"/>
      <c r="CA454" s="1"/>
      <c r="CM454"/>
      <c r="CN454"/>
      <c r="CO454"/>
      <c r="CP454"/>
      <c r="CQ454"/>
      <c r="CR454"/>
    </row>
    <row r="455" spans="33:96">
      <c r="AG455" s="1"/>
      <c r="AH455" s="1"/>
      <c r="AI455" s="1"/>
      <c r="AJ455" s="1"/>
      <c r="AR455" s="1"/>
      <c r="AS455" s="1"/>
      <c r="AT455" s="1"/>
      <c r="AV455" s="1"/>
      <c r="BC455" s="1"/>
      <c r="BD455" s="1"/>
      <c r="BE455" s="1"/>
      <c r="BF455" s="1"/>
      <c r="BG455" s="1"/>
      <c r="BH455" s="1"/>
      <c r="BI455" s="1"/>
      <c r="BJ455" s="1"/>
      <c r="BK455" s="1"/>
      <c r="BL455" s="1"/>
      <c r="BM455" s="1"/>
      <c r="BN455" s="1"/>
      <c r="BO455" s="1"/>
      <c r="BP455" s="1"/>
      <c r="BQ455" s="1"/>
      <c r="BR455" s="1"/>
      <c r="BS455" s="1"/>
      <c r="BT455" s="1"/>
      <c r="BU455" s="1"/>
      <c r="BV455" s="1"/>
      <c r="BW455" s="1"/>
      <c r="BX455" s="1"/>
      <c r="BY455" s="1"/>
      <c r="BZ455" s="1"/>
      <c r="CA455" s="1"/>
      <c r="CM455"/>
      <c r="CN455"/>
      <c r="CO455"/>
      <c r="CP455"/>
      <c r="CQ455"/>
      <c r="CR455"/>
    </row>
    <row r="456" spans="33:96">
      <c r="AG456" s="1"/>
      <c r="AH456" s="1"/>
      <c r="AI456" s="1"/>
      <c r="AJ456" s="1"/>
      <c r="AR456" s="1"/>
      <c r="AS456" s="1"/>
      <c r="AT456" s="1"/>
      <c r="AV456" s="1"/>
      <c r="BC456" s="1"/>
      <c r="BD456" s="1"/>
      <c r="BE456" s="1"/>
      <c r="BF456" s="1"/>
      <c r="BG456" s="1"/>
      <c r="BH456" s="1"/>
      <c r="BI456" s="1"/>
      <c r="BJ456" s="1"/>
      <c r="BK456" s="1"/>
      <c r="BL456" s="1"/>
      <c r="BM456" s="1"/>
      <c r="BN456" s="1"/>
      <c r="BO456" s="1"/>
      <c r="BP456" s="1"/>
      <c r="BQ456" s="1"/>
      <c r="BR456" s="1"/>
      <c r="BS456" s="1"/>
      <c r="BT456" s="1"/>
      <c r="BU456" s="1"/>
      <c r="BV456" s="1"/>
      <c r="BW456" s="1"/>
      <c r="BX456" s="1"/>
      <c r="BY456" s="1"/>
      <c r="BZ456" s="1"/>
      <c r="CA456" s="1"/>
      <c r="CM456"/>
      <c r="CN456"/>
      <c r="CO456"/>
      <c r="CP456"/>
      <c r="CQ456"/>
      <c r="CR456"/>
    </row>
    <row r="457" spans="33:96">
      <c r="AG457" s="1"/>
      <c r="AH457" s="1"/>
      <c r="AI457" s="1"/>
      <c r="AJ457" s="1"/>
      <c r="AR457" s="1"/>
      <c r="AS457" s="1"/>
      <c r="AT457" s="1"/>
      <c r="AV457" s="1"/>
      <c r="BC457" s="1"/>
      <c r="BD457" s="1"/>
      <c r="BE457" s="1"/>
      <c r="BF457" s="1"/>
      <c r="BG457" s="1"/>
      <c r="BH457" s="1"/>
      <c r="BI457" s="1"/>
      <c r="BJ457" s="1"/>
      <c r="BK457" s="1"/>
      <c r="BL457" s="1"/>
      <c r="BM457" s="1"/>
      <c r="BN457" s="1"/>
      <c r="BO457" s="1"/>
      <c r="BP457" s="1"/>
      <c r="BQ457" s="1"/>
      <c r="BR457" s="1"/>
      <c r="BS457" s="1"/>
      <c r="BT457" s="1"/>
      <c r="BU457" s="1"/>
      <c r="BV457" s="1"/>
      <c r="BW457" s="1"/>
      <c r="BX457" s="1"/>
      <c r="BY457" s="1"/>
      <c r="BZ457" s="1"/>
      <c r="CA457" s="1"/>
      <c r="CM457"/>
      <c r="CN457"/>
      <c r="CO457"/>
      <c r="CP457"/>
      <c r="CQ457"/>
      <c r="CR457"/>
    </row>
    <row r="458" spans="33:96">
      <c r="AG458" s="1"/>
      <c r="AH458" s="1"/>
      <c r="AI458" s="1"/>
      <c r="AJ458" s="1"/>
      <c r="AR458" s="1"/>
      <c r="AS458" s="1"/>
      <c r="AT458" s="1"/>
      <c r="AV458" s="1"/>
      <c r="BC458" s="1"/>
      <c r="BD458" s="1"/>
      <c r="BE458" s="1"/>
      <c r="BF458" s="1"/>
      <c r="BG458" s="1"/>
      <c r="BH458" s="1"/>
      <c r="BI458" s="1"/>
      <c r="BJ458" s="1"/>
      <c r="BK458" s="1"/>
      <c r="BL458" s="1"/>
      <c r="BM458" s="1"/>
      <c r="BN458" s="1"/>
      <c r="BO458" s="1"/>
      <c r="BP458" s="1"/>
      <c r="BQ458" s="1"/>
      <c r="BR458" s="1"/>
      <c r="BS458" s="1"/>
      <c r="BT458" s="1"/>
      <c r="BU458" s="1"/>
      <c r="BV458" s="1"/>
      <c r="BW458" s="1"/>
      <c r="BX458" s="1"/>
      <c r="BY458" s="1"/>
      <c r="BZ458" s="1"/>
      <c r="CA458" s="1"/>
      <c r="CM458"/>
      <c r="CN458"/>
      <c r="CO458"/>
      <c r="CP458"/>
      <c r="CQ458"/>
      <c r="CR458"/>
    </row>
    <row r="459" spans="33:96">
      <c r="AG459" s="1"/>
      <c r="AH459" s="1"/>
      <c r="AI459" s="1"/>
      <c r="AJ459" s="1"/>
      <c r="AR459" s="1"/>
      <c r="AS459" s="1"/>
      <c r="AT459" s="1"/>
      <c r="AV459" s="1"/>
      <c r="BC459" s="1"/>
      <c r="BD459" s="1"/>
      <c r="BE459" s="1"/>
      <c r="BF459" s="1"/>
      <c r="BG459" s="1"/>
      <c r="BH459" s="1"/>
      <c r="BI459" s="1"/>
      <c r="BJ459" s="1"/>
      <c r="BK459" s="1"/>
      <c r="BL459" s="1"/>
      <c r="BM459" s="1"/>
      <c r="BN459" s="1"/>
      <c r="BO459" s="1"/>
      <c r="BP459" s="1"/>
      <c r="BQ459" s="1"/>
      <c r="BR459" s="1"/>
      <c r="BS459" s="1"/>
      <c r="BT459" s="1"/>
      <c r="BU459" s="1"/>
      <c r="BV459" s="1"/>
      <c r="BW459" s="1"/>
      <c r="BX459" s="1"/>
      <c r="BY459" s="1"/>
      <c r="BZ459" s="1"/>
      <c r="CA459" s="1"/>
      <c r="CM459"/>
      <c r="CN459"/>
      <c r="CO459"/>
      <c r="CP459"/>
      <c r="CQ459"/>
      <c r="CR459"/>
    </row>
    <row r="460" spans="33:96">
      <c r="AG460" s="1"/>
      <c r="AH460" s="1"/>
      <c r="AI460" s="1"/>
      <c r="AJ460" s="1"/>
      <c r="AR460" s="1"/>
      <c r="AS460" s="1"/>
      <c r="AT460" s="1"/>
      <c r="AV460" s="1"/>
      <c r="BC460" s="1"/>
      <c r="BD460" s="1"/>
      <c r="BE460" s="1"/>
      <c r="BF460" s="1"/>
      <c r="BG460" s="1"/>
      <c r="BH460" s="1"/>
      <c r="BI460" s="1"/>
      <c r="BJ460" s="1"/>
      <c r="BK460" s="1"/>
      <c r="BL460" s="1"/>
      <c r="BM460" s="1"/>
      <c r="BN460" s="1"/>
      <c r="BO460" s="1"/>
      <c r="BP460" s="1"/>
      <c r="BQ460" s="1"/>
      <c r="BR460" s="1"/>
      <c r="BS460" s="1"/>
      <c r="BT460" s="1"/>
      <c r="BU460" s="1"/>
      <c r="BV460" s="1"/>
      <c r="BW460" s="1"/>
      <c r="BX460" s="1"/>
      <c r="BY460" s="1"/>
      <c r="BZ460" s="1"/>
      <c r="CA460" s="1"/>
      <c r="CM460"/>
      <c r="CN460"/>
      <c r="CO460"/>
      <c r="CP460"/>
      <c r="CQ460"/>
      <c r="CR460"/>
    </row>
    <row r="461" spans="33:96">
      <c r="AG461" s="1"/>
      <c r="AH461" s="1"/>
      <c r="AI461" s="1"/>
      <c r="AJ461" s="1"/>
      <c r="AR461" s="1"/>
      <c r="AS461" s="1"/>
      <c r="AT461" s="1"/>
      <c r="AV461" s="1"/>
      <c r="BC461" s="1"/>
      <c r="BD461" s="1"/>
      <c r="BE461" s="1"/>
      <c r="BF461" s="1"/>
      <c r="BG461" s="1"/>
      <c r="BH461" s="1"/>
      <c r="BI461" s="1"/>
      <c r="BJ461" s="1"/>
      <c r="BK461" s="1"/>
      <c r="BL461" s="1"/>
      <c r="BM461" s="1"/>
      <c r="BN461" s="1"/>
      <c r="BO461" s="1"/>
      <c r="BP461" s="1"/>
      <c r="BQ461" s="1"/>
      <c r="BR461" s="1"/>
      <c r="BS461" s="1"/>
      <c r="BT461" s="1"/>
      <c r="BU461" s="1"/>
      <c r="BV461" s="1"/>
      <c r="BW461" s="1"/>
      <c r="BX461" s="1"/>
      <c r="BY461" s="1"/>
      <c r="BZ461" s="1"/>
      <c r="CA461" s="1"/>
      <c r="CM461"/>
      <c r="CN461"/>
      <c r="CO461"/>
      <c r="CP461"/>
      <c r="CQ461"/>
      <c r="CR461"/>
    </row>
    <row r="462" spans="33:96">
      <c r="AG462" s="1"/>
      <c r="AH462" s="1"/>
      <c r="AI462" s="1"/>
      <c r="AJ462" s="1"/>
      <c r="AR462" s="1"/>
      <c r="AS462" s="1"/>
      <c r="AT462" s="1"/>
      <c r="AV462" s="1"/>
      <c r="BC462" s="1"/>
      <c r="BD462" s="1"/>
      <c r="BE462" s="1"/>
      <c r="BF462" s="1"/>
      <c r="BG462" s="1"/>
      <c r="BH462" s="1"/>
      <c r="BI462" s="1"/>
      <c r="BJ462" s="1"/>
      <c r="BK462" s="1"/>
      <c r="BL462" s="1"/>
      <c r="BM462" s="1"/>
      <c r="BN462" s="1"/>
      <c r="BO462" s="1"/>
      <c r="BP462" s="1"/>
      <c r="BQ462" s="1"/>
      <c r="BR462" s="1"/>
      <c r="BS462" s="1"/>
      <c r="BT462" s="1"/>
      <c r="BU462" s="1"/>
      <c r="BV462" s="1"/>
      <c r="BW462" s="1"/>
      <c r="BX462" s="1"/>
      <c r="BY462" s="1"/>
      <c r="BZ462" s="1"/>
      <c r="CA462" s="1"/>
      <c r="CM462"/>
      <c r="CN462"/>
      <c r="CO462"/>
      <c r="CP462"/>
      <c r="CQ462"/>
      <c r="CR462"/>
    </row>
    <row r="463" spans="33:96">
      <c r="AG463" s="1"/>
      <c r="AH463" s="1"/>
      <c r="AI463" s="1"/>
      <c r="AJ463" s="1"/>
      <c r="AR463" s="1"/>
      <c r="AS463" s="1"/>
      <c r="AT463" s="1"/>
      <c r="AV463" s="1"/>
      <c r="BC463" s="1"/>
      <c r="BD463" s="1"/>
      <c r="BE463" s="1"/>
      <c r="BF463" s="1"/>
      <c r="BG463" s="1"/>
      <c r="BH463" s="1"/>
      <c r="BI463" s="1"/>
      <c r="BJ463" s="1"/>
      <c r="BK463" s="1"/>
      <c r="BL463" s="1"/>
      <c r="BM463" s="1"/>
      <c r="BN463" s="1"/>
      <c r="BO463" s="1"/>
      <c r="BP463" s="1"/>
      <c r="BQ463" s="1"/>
      <c r="BR463" s="1"/>
      <c r="BS463" s="1"/>
      <c r="BT463" s="1"/>
      <c r="BU463" s="1"/>
      <c r="BV463" s="1"/>
      <c r="BW463" s="1"/>
      <c r="BX463" s="1"/>
      <c r="BY463" s="1"/>
      <c r="BZ463" s="1"/>
      <c r="CA463" s="1"/>
      <c r="CM463"/>
      <c r="CN463"/>
      <c r="CO463"/>
      <c r="CP463"/>
      <c r="CQ463"/>
      <c r="CR463"/>
    </row>
    <row r="464" spans="33:96">
      <c r="AG464" s="1"/>
      <c r="AH464" s="1"/>
      <c r="AI464" s="1"/>
      <c r="AJ464" s="1"/>
      <c r="AR464" s="1"/>
      <c r="AS464" s="1"/>
      <c r="AT464" s="1"/>
      <c r="AV464" s="1"/>
      <c r="BC464" s="1"/>
      <c r="BD464" s="1"/>
      <c r="BE464" s="1"/>
      <c r="BF464" s="1"/>
      <c r="BG464" s="1"/>
      <c r="BH464" s="1"/>
      <c r="BI464" s="1"/>
      <c r="BJ464" s="1"/>
      <c r="BK464" s="1"/>
      <c r="BL464" s="1"/>
      <c r="BM464" s="1"/>
      <c r="BN464" s="1"/>
      <c r="BO464" s="1"/>
      <c r="BP464" s="1"/>
      <c r="BQ464" s="1"/>
      <c r="BR464" s="1"/>
      <c r="BS464" s="1"/>
      <c r="BT464" s="1"/>
      <c r="BU464" s="1"/>
      <c r="BV464" s="1"/>
      <c r="BW464" s="1"/>
      <c r="BX464" s="1"/>
      <c r="BY464" s="1"/>
      <c r="BZ464" s="1"/>
      <c r="CA464" s="1"/>
      <c r="CM464"/>
      <c r="CN464"/>
      <c r="CO464"/>
      <c r="CP464"/>
      <c r="CQ464"/>
      <c r="CR464"/>
    </row>
    <row r="465" spans="33:96">
      <c r="AG465" s="1"/>
      <c r="AH465" s="1"/>
      <c r="AI465" s="1"/>
      <c r="AJ465" s="1"/>
      <c r="AR465" s="1"/>
      <c r="AS465" s="1"/>
      <c r="AT465" s="1"/>
      <c r="AV465" s="1"/>
      <c r="BC465" s="1"/>
      <c r="BD465" s="1"/>
      <c r="BE465" s="1"/>
      <c r="BF465" s="1"/>
      <c r="BG465" s="1"/>
      <c r="BH465" s="1"/>
      <c r="BI465" s="1"/>
      <c r="BJ465" s="1"/>
      <c r="BK465" s="1"/>
      <c r="BL465" s="1"/>
      <c r="BM465" s="1"/>
      <c r="BN465" s="1"/>
      <c r="BO465" s="1"/>
      <c r="BP465" s="1"/>
      <c r="BQ465" s="1"/>
      <c r="BR465" s="1"/>
      <c r="BS465" s="1"/>
      <c r="BT465" s="1"/>
      <c r="BU465" s="1"/>
      <c r="BV465" s="1"/>
      <c r="BW465" s="1"/>
      <c r="BX465" s="1"/>
      <c r="BY465" s="1"/>
      <c r="BZ465" s="1"/>
      <c r="CA465" s="1"/>
      <c r="CM465"/>
      <c r="CN465"/>
      <c r="CO465"/>
      <c r="CP465"/>
      <c r="CQ465"/>
      <c r="CR465"/>
    </row>
    <row r="466" spans="33:96">
      <c r="AG466" s="1"/>
      <c r="AH466" s="1"/>
      <c r="AI466" s="1"/>
      <c r="AJ466" s="1"/>
      <c r="AR466" s="1"/>
      <c r="AS466" s="1"/>
      <c r="AT466" s="1"/>
      <c r="AV466" s="1"/>
      <c r="BC466" s="1"/>
      <c r="BD466" s="1"/>
      <c r="BE466" s="1"/>
      <c r="BF466" s="1"/>
      <c r="BG466" s="1"/>
      <c r="BH466" s="1"/>
      <c r="BI466" s="1"/>
      <c r="BJ466" s="1"/>
      <c r="BK466" s="1"/>
      <c r="BL466" s="1"/>
      <c r="BM466" s="1"/>
      <c r="BN466" s="1"/>
      <c r="BO466" s="1"/>
      <c r="BP466" s="1"/>
      <c r="BQ466" s="1"/>
      <c r="BR466" s="1"/>
      <c r="BS466" s="1"/>
      <c r="BT466" s="1"/>
      <c r="BU466" s="1"/>
      <c r="BV466" s="1"/>
      <c r="BW466" s="1"/>
      <c r="BX466" s="1"/>
      <c r="BY466" s="1"/>
      <c r="BZ466" s="1"/>
      <c r="CA466" s="1"/>
      <c r="CM466"/>
      <c r="CN466"/>
      <c r="CO466"/>
      <c r="CP466"/>
      <c r="CQ466"/>
      <c r="CR466"/>
    </row>
    <row r="467" spans="33:96">
      <c r="AG467" s="1"/>
      <c r="AH467" s="1"/>
      <c r="AI467" s="1"/>
      <c r="AJ467" s="1"/>
      <c r="AR467" s="1"/>
      <c r="AS467" s="1"/>
      <c r="AT467" s="1"/>
      <c r="AV467" s="1"/>
      <c r="BC467" s="1"/>
      <c r="BD467" s="1"/>
      <c r="BE467" s="1"/>
      <c r="BF467" s="1"/>
      <c r="BG467" s="1"/>
      <c r="BH467" s="1"/>
      <c r="BI467" s="1"/>
      <c r="BJ467" s="1"/>
      <c r="BK467" s="1"/>
      <c r="BL467" s="1"/>
      <c r="BM467" s="1"/>
      <c r="BN467" s="1"/>
      <c r="BO467" s="1"/>
      <c r="BP467" s="1"/>
      <c r="BQ467" s="1"/>
      <c r="BR467" s="1"/>
      <c r="BS467" s="1"/>
      <c r="BT467" s="1"/>
      <c r="BU467" s="1"/>
      <c r="BV467" s="1"/>
      <c r="BW467" s="1"/>
      <c r="BX467" s="1"/>
      <c r="BY467" s="1"/>
      <c r="BZ467" s="1"/>
      <c r="CA467" s="1"/>
      <c r="CM467"/>
      <c r="CN467"/>
      <c r="CO467"/>
      <c r="CP467"/>
      <c r="CQ467"/>
      <c r="CR467"/>
    </row>
    <row r="468" spans="33:96">
      <c r="AG468" s="1"/>
      <c r="AH468" s="1"/>
      <c r="AI468" s="1"/>
      <c r="AJ468" s="1"/>
      <c r="AR468" s="1"/>
      <c r="AS468" s="1"/>
      <c r="AT468" s="1"/>
      <c r="AV468" s="1"/>
      <c r="BC468" s="1"/>
      <c r="BD468" s="1"/>
      <c r="BE468" s="1"/>
      <c r="BF468" s="1"/>
      <c r="BG468" s="1"/>
      <c r="BH468" s="1"/>
      <c r="BI468" s="1"/>
      <c r="BJ468" s="1"/>
      <c r="BK468" s="1"/>
      <c r="BL468" s="1"/>
      <c r="BM468" s="1"/>
      <c r="BN468" s="1"/>
      <c r="BO468" s="1"/>
      <c r="BP468" s="1"/>
      <c r="BQ468" s="1"/>
      <c r="BR468" s="1"/>
      <c r="BS468" s="1"/>
      <c r="BT468" s="1"/>
      <c r="BU468" s="1"/>
      <c r="BV468" s="1"/>
      <c r="BW468" s="1"/>
      <c r="BX468" s="1"/>
      <c r="BY468" s="1"/>
      <c r="BZ468" s="1"/>
      <c r="CA468" s="1"/>
      <c r="CM468"/>
      <c r="CN468"/>
      <c r="CO468"/>
      <c r="CP468"/>
      <c r="CQ468"/>
      <c r="CR468"/>
    </row>
    <row r="469" spans="33:96">
      <c r="AG469" s="1"/>
      <c r="AH469" s="1"/>
      <c r="AI469" s="1"/>
      <c r="AJ469" s="1"/>
      <c r="AR469" s="1"/>
      <c r="AS469" s="1"/>
      <c r="AT469" s="1"/>
      <c r="AV469" s="1"/>
      <c r="BC469" s="1"/>
      <c r="BD469" s="1"/>
      <c r="BE469" s="1"/>
      <c r="BF469" s="1"/>
      <c r="BG469" s="1"/>
      <c r="BH469" s="1"/>
      <c r="BI469" s="1"/>
      <c r="BJ469" s="1"/>
      <c r="BK469" s="1"/>
      <c r="BL469" s="1"/>
      <c r="BM469" s="1"/>
      <c r="BN469" s="1"/>
      <c r="BO469" s="1"/>
      <c r="BP469" s="1"/>
      <c r="BQ469" s="1"/>
      <c r="BR469" s="1"/>
      <c r="BS469" s="1"/>
      <c r="BT469" s="1"/>
      <c r="BU469" s="1"/>
      <c r="BV469" s="1"/>
      <c r="BW469" s="1"/>
      <c r="BX469" s="1"/>
      <c r="BY469" s="1"/>
      <c r="BZ469" s="1"/>
      <c r="CA469" s="1"/>
      <c r="CM469"/>
      <c r="CN469"/>
      <c r="CO469"/>
      <c r="CP469"/>
      <c r="CQ469"/>
      <c r="CR469"/>
    </row>
    <row r="470" spans="33:96">
      <c r="AG470" s="1"/>
      <c r="AH470" s="1"/>
      <c r="AI470" s="1"/>
      <c r="AJ470" s="1"/>
      <c r="AR470" s="1"/>
      <c r="AS470" s="1"/>
      <c r="AT470" s="1"/>
      <c r="AV470" s="1"/>
      <c r="BC470" s="1"/>
      <c r="BD470" s="1"/>
      <c r="BE470" s="1"/>
      <c r="BF470" s="1"/>
      <c r="BG470" s="1"/>
      <c r="BH470" s="1"/>
      <c r="BI470" s="1"/>
      <c r="BJ470" s="1"/>
      <c r="BK470" s="1"/>
      <c r="BL470" s="1"/>
      <c r="BM470" s="1"/>
      <c r="BN470" s="1"/>
      <c r="BO470" s="1"/>
      <c r="BP470" s="1"/>
      <c r="BQ470" s="1"/>
      <c r="BR470" s="1"/>
      <c r="BS470" s="1"/>
      <c r="BT470" s="1"/>
      <c r="BU470" s="1"/>
      <c r="BV470" s="1"/>
      <c r="BW470" s="1"/>
      <c r="BX470" s="1"/>
      <c r="BY470" s="1"/>
      <c r="BZ470" s="1"/>
      <c r="CA470" s="1"/>
      <c r="CM470"/>
      <c r="CN470"/>
      <c r="CO470"/>
      <c r="CP470"/>
      <c r="CQ470"/>
      <c r="CR470"/>
    </row>
    <row r="471" spans="33:96">
      <c r="AG471" s="1"/>
      <c r="AH471" s="1"/>
      <c r="AI471" s="1"/>
      <c r="AJ471" s="1"/>
      <c r="AR471" s="1"/>
      <c r="AS471" s="1"/>
      <c r="AT471" s="1"/>
      <c r="AV471" s="1"/>
      <c r="BC471" s="1"/>
      <c r="BD471" s="1"/>
      <c r="BE471" s="1"/>
      <c r="BF471" s="1"/>
      <c r="BG471" s="1"/>
      <c r="BH471" s="1"/>
      <c r="BI471" s="1"/>
      <c r="BJ471" s="1"/>
      <c r="BK471" s="1"/>
      <c r="BL471" s="1"/>
      <c r="BM471" s="1"/>
      <c r="BN471" s="1"/>
      <c r="BO471" s="1"/>
      <c r="BP471" s="1"/>
      <c r="BQ471" s="1"/>
      <c r="BR471" s="1"/>
      <c r="BS471" s="1"/>
      <c r="BT471" s="1"/>
      <c r="BU471" s="1"/>
      <c r="BV471" s="1"/>
      <c r="BW471" s="1"/>
      <c r="BX471" s="1"/>
      <c r="BY471" s="1"/>
      <c r="BZ471" s="1"/>
      <c r="CA471" s="1"/>
      <c r="CM471"/>
      <c r="CN471"/>
      <c r="CO471"/>
      <c r="CP471"/>
      <c r="CQ471"/>
      <c r="CR471"/>
    </row>
    <row r="472" spans="33:96">
      <c r="AG472" s="1"/>
      <c r="AH472" s="1"/>
      <c r="AI472" s="1"/>
      <c r="AJ472" s="1"/>
      <c r="AR472" s="1"/>
      <c r="AS472" s="1"/>
      <c r="AT472" s="1"/>
      <c r="AV472" s="1"/>
      <c r="BC472" s="1"/>
      <c r="BD472" s="1"/>
      <c r="BE472" s="1"/>
      <c r="BF472" s="1"/>
      <c r="BG472" s="1"/>
      <c r="BH472" s="1"/>
      <c r="BI472" s="1"/>
      <c r="BJ472" s="1"/>
      <c r="BK472" s="1"/>
      <c r="BL472" s="1"/>
      <c r="BM472" s="1"/>
      <c r="BN472" s="1"/>
      <c r="BO472" s="1"/>
      <c r="BP472" s="1"/>
      <c r="BQ472" s="1"/>
      <c r="BR472" s="1"/>
      <c r="BS472" s="1"/>
      <c r="BT472" s="1"/>
      <c r="BU472" s="1"/>
      <c r="BV472" s="1"/>
      <c r="BW472" s="1"/>
      <c r="BX472" s="1"/>
      <c r="BY472" s="1"/>
      <c r="BZ472" s="1"/>
      <c r="CA472" s="1"/>
      <c r="CM472"/>
      <c r="CN472"/>
      <c r="CO472"/>
      <c r="CP472"/>
      <c r="CQ472"/>
      <c r="CR472"/>
    </row>
    <row r="473" spans="33:96">
      <c r="AG473" s="1"/>
      <c r="AH473" s="1"/>
      <c r="AI473" s="1"/>
      <c r="AJ473" s="1"/>
      <c r="AR473" s="1"/>
      <c r="AS473" s="1"/>
      <c r="AT473" s="1"/>
      <c r="AV473" s="1"/>
      <c r="BC473" s="1"/>
      <c r="BD473" s="1"/>
      <c r="BE473" s="1"/>
      <c r="BF473" s="1"/>
      <c r="BG473" s="1"/>
      <c r="BH473" s="1"/>
      <c r="BI473" s="1"/>
      <c r="BJ473" s="1"/>
      <c r="BK473" s="1"/>
      <c r="BL473" s="1"/>
      <c r="BM473" s="1"/>
      <c r="BN473" s="1"/>
      <c r="BO473" s="1"/>
      <c r="BP473" s="1"/>
      <c r="BQ473" s="1"/>
      <c r="BR473" s="1"/>
      <c r="BS473" s="1"/>
      <c r="BT473" s="1"/>
      <c r="BU473" s="1"/>
      <c r="BV473" s="1"/>
      <c r="BW473" s="1"/>
      <c r="BX473" s="1"/>
      <c r="BY473" s="1"/>
      <c r="BZ473" s="1"/>
      <c r="CA473" s="1"/>
      <c r="CM473"/>
      <c r="CN473"/>
      <c r="CO473"/>
      <c r="CP473"/>
      <c r="CQ473"/>
      <c r="CR473"/>
    </row>
    <row r="474" spans="33:96">
      <c r="AG474" s="1"/>
      <c r="AH474" s="1"/>
      <c r="AI474" s="1"/>
      <c r="AJ474" s="1"/>
      <c r="AR474" s="1"/>
      <c r="AS474" s="1"/>
      <c r="AT474" s="1"/>
      <c r="AV474" s="1"/>
      <c r="BC474" s="1"/>
      <c r="BD474" s="1"/>
      <c r="BE474" s="1"/>
      <c r="BF474" s="1"/>
      <c r="BG474" s="1"/>
      <c r="BH474" s="1"/>
      <c r="BI474" s="1"/>
      <c r="BJ474" s="1"/>
      <c r="BK474" s="1"/>
      <c r="BL474" s="1"/>
      <c r="BM474" s="1"/>
      <c r="BN474" s="1"/>
      <c r="BO474" s="1"/>
      <c r="BP474" s="1"/>
      <c r="BQ474" s="1"/>
      <c r="BR474" s="1"/>
      <c r="BS474" s="1"/>
      <c r="BT474" s="1"/>
      <c r="BU474" s="1"/>
      <c r="BV474" s="1"/>
      <c r="BW474" s="1"/>
      <c r="BX474" s="1"/>
      <c r="BY474" s="1"/>
      <c r="BZ474" s="1"/>
      <c r="CA474" s="1"/>
      <c r="CM474"/>
      <c r="CN474"/>
      <c r="CO474"/>
      <c r="CP474"/>
      <c r="CQ474"/>
      <c r="CR474"/>
    </row>
    <row r="475" spans="33:96">
      <c r="AG475" s="1"/>
      <c r="AH475" s="1"/>
      <c r="AI475" s="1"/>
      <c r="AJ475" s="1"/>
      <c r="AR475" s="1"/>
      <c r="AS475" s="1"/>
      <c r="AT475" s="1"/>
      <c r="AV475" s="1"/>
      <c r="BC475" s="1"/>
      <c r="BD475" s="1"/>
      <c r="BE475" s="1"/>
      <c r="BF475" s="1"/>
      <c r="BG475" s="1"/>
      <c r="BH475" s="1"/>
      <c r="BI475" s="1"/>
      <c r="BJ475" s="1"/>
      <c r="BK475" s="1"/>
      <c r="BL475" s="1"/>
      <c r="BM475" s="1"/>
      <c r="BN475" s="1"/>
      <c r="BO475" s="1"/>
      <c r="BP475" s="1"/>
      <c r="BQ475" s="1"/>
      <c r="BR475" s="1"/>
      <c r="BS475" s="1"/>
      <c r="BT475" s="1"/>
      <c r="BU475" s="1"/>
      <c r="BV475" s="1"/>
      <c r="BW475" s="1"/>
      <c r="BX475" s="1"/>
      <c r="BY475" s="1"/>
      <c r="BZ475" s="1"/>
      <c r="CA475" s="1"/>
      <c r="CM475"/>
      <c r="CN475"/>
      <c r="CO475"/>
      <c r="CP475"/>
      <c r="CQ475"/>
      <c r="CR475"/>
    </row>
    <row r="476" spans="33:96">
      <c r="AG476" s="1"/>
      <c r="AH476" s="1"/>
      <c r="AI476" s="1"/>
      <c r="AJ476" s="1"/>
      <c r="AR476" s="1"/>
      <c r="AS476" s="1"/>
      <c r="AT476" s="1"/>
      <c r="AV476" s="1"/>
      <c r="BC476" s="1"/>
      <c r="BD476" s="1"/>
      <c r="BE476" s="1"/>
      <c r="BF476" s="1"/>
      <c r="BG476" s="1"/>
      <c r="BH476" s="1"/>
      <c r="BI476" s="1"/>
      <c r="BJ476" s="1"/>
      <c r="BK476" s="1"/>
      <c r="BL476" s="1"/>
      <c r="BM476" s="1"/>
      <c r="BN476" s="1"/>
      <c r="BO476" s="1"/>
      <c r="BP476" s="1"/>
      <c r="BQ476" s="1"/>
      <c r="BR476" s="1"/>
      <c r="BS476" s="1"/>
      <c r="BT476" s="1"/>
      <c r="BU476" s="1"/>
      <c r="BV476" s="1"/>
      <c r="BW476" s="1"/>
      <c r="BX476" s="1"/>
      <c r="BY476" s="1"/>
      <c r="BZ476" s="1"/>
      <c r="CA476" s="1"/>
      <c r="CM476"/>
      <c r="CN476"/>
      <c r="CO476"/>
      <c r="CP476"/>
      <c r="CQ476"/>
      <c r="CR476"/>
    </row>
    <row r="477" spans="33:96">
      <c r="AG477" s="1"/>
      <c r="AH477" s="1"/>
      <c r="AI477" s="1"/>
      <c r="AJ477" s="1"/>
      <c r="AR477" s="1"/>
      <c r="AS477" s="1"/>
      <c r="AT477" s="1"/>
      <c r="AV477" s="1"/>
      <c r="BC477" s="1"/>
      <c r="BD477" s="1"/>
      <c r="BE477" s="1"/>
      <c r="BF477" s="1"/>
      <c r="BG477" s="1"/>
      <c r="BH477" s="1"/>
      <c r="BI477" s="1"/>
      <c r="BJ477" s="1"/>
      <c r="BK477" s="1"/>
      <c r="BL477" s="1"/>
      <c r="BM477" s="1"/>
      <c r="BN477" s="1"/>
      <c r="BO477" s="1"/>
      <c r="BP477" s="1"/>
      <c r="BQ477" s="1"/>
      <c r="BR477" s="1"/>
      <c r="BS477" s="1"/>
      <c r="BT477" s="1"/>
      <c r="BU477" s="1"/>
      <c r="BV477" s="1"/>
      <c r="BW477" s="1"/>
      <c r="BX477" s="1"/>
      <c r="BY477" s="1"/>
      <c r="BZ477" s="1"/>
      <c r="CA477" s="1"/>
      <c r="CM477"/>
      <c r="CN477"/>
      <c r="CO477"/>
      <c r="CP477"/>
      <c r="CQ477"/>
      <c r="CR477"/>
    </row>
    <row r="478" spans="33:96">
      <c r="AG478" s="1"/>
      <c r="AH478" s="1"/>
      <c r="AI478" s="1"/>
      <c r="AJ478" s="1"/>
      <c r="AR478" s="1"/>
      <c r="AS478" s="1"/>
      <c r="AT478" s="1"/>
      <c r="AV478" s="1"/>
      <c r="BC478" s="1"/>
      <c r="BD478" s="1"/>
      <c r="BE478" s="1"/>
      <c r="BF478" s="1"/>
      <c r="BG478" s="1"/>
      <c r="BH478" s="1"/>
      <c r="BI478" s="1"/>
      <c r="BJ478" s="1"/>
      <c r="BK478" s="1"/>
      <c r="BL478" s="1"/>
      <c r="BM478" s="1"/>
      <c r="BN478" s="1"/>
      <c r="BO478" s="1"/>
      <c r="BP478" s="1"/>
      <c r="BQ478" s="1"/>
      <c r="BR478" s="1"/>
      <c r="BS478" s="1"/>
      <c r="BT478" s="1"/>
      <c r="BU478" s="1"/>
      <c r="BV478" s="1"/>
      <c r="BW478" s="1"/>
      <c r="BX478" s="1"/>
      <c r="BY478" s="1"/>
      <c r="BZ478" s="1"/>
      <c r="CA478" s="1"/>
      <c r="CM478"/>
      <c r="CN478"/>
      <c r="CO478"/>
      <c r="CP478"/>
      <c r="CQ478"/>
      <c r="CR478"/>
    </row>
    <row r="479" spans="33:96">
      <c r="AG479" s="1"/>
      <c r="AH479" s="1"/>
      <c r="AI479" s="1"/>
      <c r="AJ479" s="1"/>
      <c r="AR479" s="1"/>
      <c r="AS479" s="1"/>
      <c r="AT479" s="1"/>
      <c r="AV479" s="1"/>
      <c r="BC479" s="1"/>
      <c r="BD479" s="1"/>
      <c r="BE479" s="1"/>
      <c r="BF479" s="1"/>
      <c r="BG479" s="1"/>
      <c r="BH479" s="1"/>
      <c r="BI479" s="1"/>
      <c r="BJ479" s="1"/>
      <c r="BK479" s="1"/>
      <c r="BL479" s="1"/>
      <c r="BM479" s="1"/>
      <c r="BN479" s="1"/>
      <c r="BO479" s="1"/>
      <c r="BP479" s="1"/>
      <c r="BQ479" s="1"/>
      <c r="BR479" s="1"/>
      <c r="BS479" s="1"/>
      <c r="BT479" s="1"/>
      <c r="BU479" s="1"/>
      <c r="BV479" s="1"/>
      <c r="BW479" s="1"/>
      <c r="BX479" s="1"/>
      <c r="BY479" s="1"/>
      <c r="BZ479" s="1"/>
      <c r="CA479" s="1"/>
      <c r="CM479"/>
      <c r="CN479"/>
      <c r="CO479"/>
      <c r="CP479"/>
      <c r="CQ479"/>
      <c r="CR479"/>
    </row>
    <row r="480" spans="33:96">
      <c r="AG480" s="1"/>
      <c r="AH480" s="1"/>
      <c r="AI480" s="1"/>
      <c r="AJ480" s="1"/>
      <c r="AR480" s="1"/>
      <c r="AS480" s="1"/>
      <c r="AT480" s="1"/>
      <c r="AV480" s="1"/>
      <c r="BC480" s="1"/>
      <c r="BD480" s="1"/>
      <c r="BE480" s="1"/>
      <c r="BF480" s="1"/>
      <c r="BG480" s="1"/>
      <c r="BH480" s="1"/>
      <c r="BI480" s="1"/>
      <c r="BJ480" s="1"/>
      <c r="BK480" s="1"/>
      <c r="BL480" s="1"/>
      <c r="BM480" s="1"/>
      <c r="BN480" s="1"/>
      <c r="BO480" s="1"/>
      <c r="BP480" s="1"/>
      <c r="BQ480" s="1"/>
      <c r="BR480" s="1"/>
      <c r="BS480" s="1"/>
      <c r="BT480" s="1"/>
      <c r="BU480" s="1"/>
      <c r="BV480" s="1"/>
      <c r="BW480" s="1"/>
      <c r="BX480" s="1"/>
      <c r="BY480" s="1"/>
      <c r="BZ480" s="1"/>
      <c r="CA480" s="1"/>
      <c r="CM480"/>
      <c r="CN480"/>
      <c r="CO480"/>
      <c r="CP480"/>
      <c r="CQ480"/>
      <c r="CR480"/>
    </row>
    <row r="481" spans="33:96">
      <c r="AG481" s="1"/>
      <c r="AH481" s="1"/>
      <c r="AI481" s="1"/>
      <c r="AJ481" s="1"/>
      <c r="AR481" s="1"/>
      <c r="AS481" s="1"/>
      <c r="AT481" s="1"/>
      <c r="AV481" s="1"/>
      <c r="BC481" s="1"/>
      <c r="BD481" s="1"/>
      <c r="BE481" s="1"/>
      <c r="BF481" s="1"/>
      <c r="BG481" s="1"/>
      <c r="BH481" s="1"/>
      <c r="BI481" s="1"/>
      <c r="BJ481" s="1"/>
      <c r="BK481" s="1"/>
      <c r="BL481" s="1"/>
      <c r="BM481" s="1"/>
      <c r="BN481" s="1"/>
      <c r="BO481" s="1"/>
      <c r="BP481" s="1"/>
      <c r="BQ481" s="1"/>
      <c r="BR481" s="1"/>
      <c r="BS481" s="1"/>
      <c r="BT481" s="1"/>
      <c r="BU481" s="1"/>
      <c r="BV481" s="1"/>
      <c r="BW481" s="1"/>
      <c r="BX481" s="1"/>
      <c r="BY481" s="1"/>
      <c r="BZ481" s="1"/>
      <c r="CA481" s="1"/>
      <c r="CM481"/>
      <c r="CN481"/>
      <c r="CO481"/>
      <c r="CP481"/>
      <c r="CQ481"/>
      <c r="CR481"/>
    </row>
    <row r="482" spans="33:96">
      <c r="AG482" s="1"/>
      <c r="AH482" s="1"/>
      <c r="AI482" s="1"/>
      <c r="AJ482" s="1"/>
      <c r="AR482" s="1"/>
      <c r="AS482" s="1"/>
      <c r="AT482" s="1"/>
      <c r="AV482" s="1"/>
      <c r="BC482" s="1"/>
      <c r="BD482" s="1"/>
      <c r="BE482" s="1"/>
      <c r="BF482" s="1"/>
      <c r="BG482" s="1"/>
      <c r="BH482" s="1"/>
      <c r="BI482" s="1"/>
      <c r="BJ482" s="1"/>
      <c r="BK482" s="1"/>
      <c r="BL482" s="1"/>
      <c r="BM482" s="1"/>
      <c r="BN482" s="1"/>
      <c r="BO482" s="1"/>
      <c r="BP482" s="1"/>
      <c r="BQ482" s="1"/>
      <c r="BR482" s="1"/>
      <c r="BS482" s="1"/>
      <c r="BT482" s="1"/>
      <c r="BU482" s="1"/>
      <c r="BV482" s="1"/>
      <c r="BW482" s="1"/>
      <c r="BX482" s="1"/>
      <c r="BY482" s="1"/>
      <c r="BZ482" s="1"/>
      <c r="CA482" s="1"/>
      <c r="CM482"/>
      <c r="CN482"/>
      <c r="CO482"/>
      <c r="CP482"/>
      <c r="CQ482"/>
      <c r="CR482"/>
    </row>
    <row r="483" spans="33:96">
      <c r="AG483" s="1"/>
      <c r="AH483" s="1"/>
      <c r="AI483" s="1"/>
      <c r="AJ483" s="1"/>
      <c r="AR483" s="1"/>
      <c r="AS483" s="1"/>
      <c r="AT483" s="1"/>
      <c r="AV483" s="1"/>
      <c r="BC483" s="1"/>
      <c r="BD483" s="1"/>
      <c r="BE483" s="1"/>
      <c r="BF483" s="1"/>
      <c r="BG483" s="1"/>
      <c r="BH483" s="1"/>
      <c r="BI483" s="1"/>
      <c r="BJ483" s="1"/>
      <c r="BK483" s="1"/>
      <c r="BL483" s="1"/>
      <c r="BM483" s="1"/>
      <c r="BN483" s="1"/>
      <c r="BO483" s="1"/>
      <c r="BP483" s="1"/>
      <c r="BQ483" s="1"/>
      <c r="BR483" s="1"/>
      <c r="BS483" s="1"/>
      <c r="BT483" s="1"/>
      <c r="BU483" s="1"/>
      <c r="BV483" s="1"/>
      <c r="BW483" s="1"/>
      <c r="BX483" s="1"/>
      <c r="BY483" s="1"/>
      <c r="BZ483" s="1"/>
      <c r="CA483" s="1"/>
      <c r="CM483"/>
      <c r="CN483"/>
      <c r="CO483"/>
      <c r="CP483"/>
      <c r="CQ483"/>
      <c r="CR483"/>
    </row>
    <row r="484" spans="33:96">
      <c r="AG484" s="1"/>
      <c r="AH484" s="1"/>
      <c r="AI484" s="1"/>
      <c r="AJ484" s="1"/>
      <c r="AR484" s="1"/>
      <c r="AS484" s="1"/>
      <c r="AT484" s="1"/>
      <c r="AV484" s="1"/>
      <c r="BC484" s="1"/>
      <c r="BD484" s="1"/>
      <c r="BE484" s="1"/>
      <c r="BF484" s="1"/>
      <c r="BG484" s="1"/>
      <c r="BH484" s="1"/>
      <c r="BI484" s="1"/>
      <c r="BJ484" s="1"/>
      <c r="BK484" s="1"/>
      <c r="BL484" s="1"/>
      <c r="BM484" s="1"/>
      <c r="BN484" s="1"/>
      <c r="BO484" s="1"/>
      <c r="BP484" s="1"/>
      <c r="BQ484" s="1"/>
      <c r="BR484" s="1"/>
      <c r="BS484" s="1"/>
      <c r="BT484" s="1"/>
      <c r="BU484" s="1"/>
      <c r="BV484" s="1"/>
      <c r="BW484" s="1"/>
      <c r="BX484" s="1"/>
      <c r="BY484" s="1"/>
      <c r="BZ484" s="1"/>
      <c r="CA484" s="1"/>
      <c r="CM484"/>
      <c r="CN484"/>
      <c r="CO484"/>
      <c r="CP484"/>
      <c r="CQ484"/>
      <c r="CR484"/>
    </row>
    <row r="485" spans="33:96">
      <c r="AG485" s="1"/>
      <c r="AH485" s="1"/>
      <c r="AI485" s="1"/>
      <c r="AJ485" s="1"/>
      <c r="AR485" s="1"/>
      <c r="AS485" s="1"/>
      <c r="AT485" s="1"/>
      <c r="AV485" s="1"/>
      <c r="BC485" s="1"/>
      <c r="BD485" s="1"/>
      <c r="BE485" s="1"/>
      <c r="BF485" s="1"/>
      <c r="BG485" s="1"/>
      <c r="BH485" s="1"/>
      <c r="BI485" s="1"/>
      <c r="BJ485" s="1"/>
      <c r="BK485" s="1"/>
      <c r="BL485" s="1"/>
      <c r="BM485" s="1"/>
      <c r="BN485" s="1"/>
      <c r="BO485" s="1"/>
      <c r="BP485" s="1"/>
      <c r="BQ485" s="1"/>
      <c r="BR485" s="1"/>
      <c r="BS485" s="1"/>
      <c r="BT485" s="1"/>
      <c r="BU485" s="1"/>
      <c r="BV485" s="1"/>
      <c r="BW485" s="1"/>
      <c r="BX485" s="1"/>
      <c r="BY485" s="1"/>
      <c r="BZ485" s="1"/>
      <c r="CA485" s="1"/>
      <c r="CM485"/>
      <c r="CN485"/>
      <c r="CO485"/>
      <c r="CP485"/>
      <c r="CQ485"/>
      <c r="CR485"/>
    </row>
    <row r="486" spans="33:96">
      <c r="AG486" s="1"/>
      <c r="AH486" s="1"/>
      <c r="AI486" s="1"/>
      <c r="AJ486" s="1"/>
      <c r="AR486" s="1"/>
      <c r="AS486" s="1"/>
      <c r="AT486" s="1"/>
      <c r="AV486" s="1"/>
      <c r="BC486" s="1"/>
      <c r="BD486" s="1"/>
      <c r="BE486" s="1"/>
      <c r="BF486" s="1"/>
      <c r="BG486" s="1"/>
      <c r="BH486" s="1"/>
      <c r="BI486" s="1"/>
      <c r="BJ486" s="1"/>
      <c r="BK486" s="1"/>
      <c r="BL486" s="1"/>
      <c r="BM486" s="1"/>
      <c r="BN486" s="1"/>
      <c r="BO486" s="1"/>
      <c r="BP486" s="1"/>
      <c r="BQ486" s="1"/>
      <c r="BR486" s="1"/>
      <c r="BS486" s="1"/>
      <c r="BT486" s="1"/>
      <c r="BU486" s="1"/>
      <c r="BV486" s="1"/>
      <c r="BW486" s="1"/>
      <c r="BX486" s="1"/>
      <c r="BY486" s="1"/>
      <c r="BZ486" s="1"/>
      <c r="CA486" s="1"/>
      <c r="CM486"/>
      <c r="CN486"/>
      <c r="CO486"/>
      <c r="CP486"/>
      <c r="CQ486"/>
      <c r="CR486"/>
    </row>
    <row r="487" spans="33:96">
      <c r="AG487" s="1"/>
      <c r="AH487" s="1"/>
      <c r="AI487" s="1"/>
      <c r="AJ487" s="1"/>
      <c r="AR487" s="1"/>
      <c r="AS487" s="1"/>
      <c r="AT487" s="1"/>
      <c r="AV487" s="1"/>
      <c r="BC487" s="1"/>
      <c r="BD487" s="1"/>
      <c r="BE487" s="1"/>
      <c r="BF487" s="1"/>
      <c r="BG487" s="1"/>
      <c r="BH487" s="1"/>
      <c r="BI487" s="1"/>
      <c r="BJ487" s="1"/>
      <c r="BK487" s="1"/>
      <c r="BL487" s="1"/>
      <c r="BM487" s="1"/>
      <c r="BN487" s="1"/>
      <c r="BO487" s="1"/>
      <c r="BP487" s="1"/>
      <c r="BQ487" s="1"/>
      <c r="BR487" s="1"/>
      <c r="BS487" s="1"/>
      <c r="BT487" s="1"/>
      <c r="BU487" s="1"/>
      <c r="BV487" s="1"/>
      <c r="BW487" s="1"/>
      <c r="BX487" s="1"/>
      <c r="BY487" s="1"/>
      <c r="BZ487" s="1"/>
      <c r="CA487" s="1"/>
      <c r="CM487"/>
      <c r="CN487"/>
      <c r="CO487"/>
      <c r="CP487"/>
      <c r="CQ487"/>
      <c r="CR487"/>
    </row>
    <row r="488" spans="33:96">
      <c r="AG488" s="1"/>
      <c r="AH488" s="1"/>
      <c r="AI488" s="1"/>
      <c r="AJ488" s="1"/>
      <c r="AR488" s="1"/>
      <c r="AS488" s="1"/>
      <c r="AT488" s="1"/>
      <c r="AV488" s="1"/>
      <c r="BC488" s="1"/>
      <c r="BD488" s="1"/>
      <c r="BE488" s="1"/>
      <c r="BF488" s="1"/>
      <c r="BG488" s="1"/>
      <c r="BH488" s="1"/>
      <c r="BI488" s="1"/>
      <c r="BJ488" s="1"/>
      <c r="BK488" s="1"/>
      <c r="BL488" s="1"/>
      <c r="BM488" s="1"/>
      <c r="BN488" s="1"/>
      <c r="BO488" s="1"/>
      <c r="BP488" s="1"/>
      <c r="BQ488" s="1"/>
      <c r="BR488" s="1"/>
      <c r="BS488" s="1"/>
      <c r="BT488" s="1"/>
      <c r="BU488" s="1"/>
      <c r="BV488" s="1"/>
      <c r="BW488" s="1"/>
      <c r="BX488" s="1"/>
      <c r="BY488" s="1"/>
      <c r="BZ488" s="1"/>
      <c r="CA488" s="1"/>
      <c r="CM488"/>
      <c r="CN488"/>
      <c r="CO488"/>
      <c r="CP488"/>
      <c r="CQ488"/>
      <c r="CR488"/>
    </row>
    <row r="489" spans="33:96">
      <c r="AG489" s="1"/>
      <c r="AH489" s="1"/>
      <c r="AI489" s="1"/>
      <c r="AJ489" s="1"/>
      <c r="AR489" s="1"/>
      <c r="AS489" s="1"/>
      <c r="AT489" s="1"/>
      <c r="AV489" s="1"/>
      <c r="BC489" s="1"/>
      <c r="BD489" s="1"/>
      <c r="BE489" s="1"/>
      <c r="BF489" s="1"/>
      <c r="BG489" s="1"/>
      <c r="BH489" s="1"/>
      <c r="BI489" s="1"/>
      <c r="BJ489" s="1"/>
      <c r="BK489" s="1"/>
      <c r="BL489" s="1"/>
      <c r="BM489" s="1"/>
      <c r="BN489" s="1"/>
      <c r="BO489" s="1"/>
      <c r="BP489" s="1"/>
      <c r="BQ489" s="1"/>
      <c r="BR489" s="1"/>
      <c r="BS489" s="1"/>
      <c r="BT489" s="1"/>
      <c r="BU489" s="1"/>
      <c r="BV489" s="1"/>
      <c r="BW489" s="1"/>
      <c r="BX489" s="1"/>
      <c r="BY489" s="1"/>
      <c r="BZ489" s="1"/>
      <c r="CA489" s="1"/>
      <c r="CM489"/>
      <c r="CN489"/>
      <c r="CO489"/>
      <c r="CP489"/>
      <c r="CQ489"/>
      <c r="CR489"/>
    </row>
    <row r="490" spans="33:96">
      <c r="AG490" s="1"/>
      <c r="AH490" s="1"/>
      <c r="AI490" s="1"/>
      <c r="AJ490" s="1"/>
      <c r="AR490" s="1"/>
      <c r="AS490" s="1"/>
      <c r="AT490" s="1"/>
      <c r="AV490" s="1"/>
      <c r="BC490" s="1"/>
      <c r="BD490" s="1"/>
      <c r="BE490" s="1"/>
      <c r="BF490" s="1"/>
      <c r="BG490" s="1"/>
      <c r="BH490" s="1"/>
      <c r="BI490" s="1"/>
      <c r="BJ490" s="1"/>
      <c r="BK490" s="1"/>
      <c r="BL490" s="1"/>
      <c r="BM490" s="1"/>
      <c r="BN490" s="1"/>
      <c r="BO490" s="1"/>
      <c r="BP490" s="1"/>
      <c r="BQ490" s="1"/>
      <c r="BR490" s="1"/>
      <c r="BS490" s="1"/>
      <c r="BT490" s="1"/>
      <c r="BU490" s="1"/>
      <c r="BV490" s="1"/>
      <c r="BW490" s="1"/>
      <c r="BX490" s="1"/>
      <c r="BY490" s="1"/>
      <c r="BZ490" s="1"/>
      <c r="CA490" s="1"/>
      <c r="CM490"/>
      <c r="CN490"/>
      <c r="CO490"/>
      <c r="CP490"/>
      <c r="CQ490"/>
      <c r="CR490"/>
    </row>
    <row r="491" spans="33:96">
      <c r="AG491" s="1"/>
      <c r="AH491" s="1"/>
      <c r="AI491" s="1"/>
      <c r="AJ491" s="1"/>
      <c r="AR491" s="1"/>
      <c r="AS491" s="1"/>
      <c r="AT491" s="1"/>
      <c r="AV491" s="1"/>
      <c r="BC491" s="1"/>
      <c r="BD491" s="1"/>
      <c r="BE491" s="1"/>
      <c r="BF491" s="1"/>
      <c r="BG491" s="1"/>
      <c r="BH491" s="1"/>
      <c r="BI491" s="1"/>
      <c r="BJ491" s="1"/>
      <c r="BK491" s="1"/>
      <c r="BL491" s="1"/>
      <c r="BM491" s="1"/>
      <c r="BN491" s="1"/>
      <c r="BO491" s="1"/>
      <c r="BP491" s="1"/>
      <c r="BQ491" s="1"/>
      <c r="BR491" s="1"/>
      <c r="BS491" s="1"/>
      <c r="BT491" s="1"/>
      <c r="BU491" s="1"/>
      <c r="BV491" s="1"/>
      <c r="BW491" s="1"/>
      <c r="BX491" s="1"/>
      <c r="BY491" s="1"/>
      <c r="BZ491" s="1"/>
      <c r="CA491" s="1"/>
      <c r="CM491"/>
      <c r="CN491"/>
      <c r="CO491"/>
      <c r="CP491"/>
      <c r="CQ491"/>
      <c r="CR491"/>
    </row>
    <row r="492" spans="33:96">
      <c r="AG492" s="1"/>
      <c r="AH492" s="1"/>
      <c r="AI492" s="1"/>
      <c r="AJ492" s="1"/>
      <c r="AR492" s="1"/>
      <c r="AS492" s="1"/>
      <c r="AT492" s="1"/>
      <c r="AV492" s="1"/>
      <c r="BC492" s="1"/>
      <c r="BD492" s="1"/>
      <c r="BE492" s="1"/>
      <c r="BF492" s="1"/>
      <c r="BG492" s="1"/>
      <c r="BH492" s="1"/>
      <c r="BI492" s="1"/>
      <c r="BJ492" s="1"/>
      <c r="BK492" s="1"/>
      <c r="BL492" s="1"/>
      <c r="BM492" s="1"/>
      <c r="BN492" s="1"/>
      <c r="BO492" s="1"/>
      <c r="BP492" s="1"/>
      <c r="BQ492" s="1"/>
      <c r="BR492" s="1"/>
      <c r="BS492" s="1"/>
      <c r="BT492" s="1"/>
      <c r="BU492" s="1"/>
      <c r="BV492" s="1"/>
      <c r="BW492" s="1"/>
      <c r="BX492" s="1"/>
      <c r="BY492" s="1"/>
      <c r="BZ492" s="1"/>
      <c r="CA492" s="1"/>
      <c r="CM492"/>
      <c r="CN492"/>
      <c r="CO492"/>
      <c r="CP492"/>
      <c r="CQ492"/>
      <c r="CR492"/>
    </row>
    <row r="493" spans="33:96">
      <c r="AG493" s="1"/>
      <c r="AH493" s="1"/>
      <c r="AI493" s="1"/>
      <c r="AJ493" s="1"/>
      <c r="AR493" s="1"/>
      <c r="AS493" s="1"/>
      <c r="AT493" s="1"/>
      <c r="AV493" s="1"/>
      <c r="BC493" s="1"/>
      <c r="BD493" s="1"/>
      <c r="BE493" s="1"/>
      <c r="BF493" s="1"/>
      <c r="BG493" s="1"/>
      <c r="BH493" s="1"/>
      <c r="BI493" s="1"/>
      <c r="BJ493" s="1"/>
      <c r="BK493" s="1"/>
      <c r="BL493" s="1"/>
      <c r="BM493" s="1"/>
      <c r="BN493" s="1"/>
      <c r="BO493" s="1"/>
      <c r="BP493" s="1"/>
      <c r="BQ493" s="1"/>
      <c r="BR493" s="1"/>
      <c r="BS493" s="1"/>
      <c r="BT493" s="1"/>
      <c r="BU493" s="1"/>
      <c r="BV493" s="1"/>
      <c r="BW493" s="1"/>
      <c r="BX493" s="1"/>
      <c r="BY493" s="1"/>
      <c r="BZ493" s="1"/>
      <c r="CA493" s="1"/>
      <c r="CM493"/>
      <c r="CN493"/>
      <c r="CO493"/>
      <c r="CP493"/>
      <c r="CQ493"/>
      <c r="CR493"/>
    </row>
    <row r="494" spans="33:96">
      <c r="AG494" s="1"/>
      <c r="AH494" s="1"/>
      <c r="AI494" s="1"/>
      <c r="AJ494" s="1"/>
      <c r="AR494" s="1"/>
      <c r="AS494" s="1"/>
      <c r="AT494" s="1"/>
      <c r="AV494" s="1"/>
      <c r="BC494" s="1"/>
      <c r="BD494" s="1"/>
      <c r="BE494" s="1"/>
      <c r="BF494" s="1"/>
      <c r="BG494" s="1"/>
      <c r="BH494" s="1"/>
      <c r="BI494" s="1"/>
      <c r="BJ494" s="1"/>
      <c r="BK494" s="1"/>
      <c r="BL494" s="1"/>
      <c r="BM494" s="1"/>
      <c r="BN494" s="1"/>
      <c r="BO494" s="1"/>
      <c r="BP494" s="1"/>
      <c r="BQ494" s="1"/>
      <c r="BR494" s="1"/>
      <c r="BS494" s="1"/>
      <c r="BT494" s="1"/>
      <c r="BU494" s="1"/>
      <c r="BV494" s="1"/>
      <c r="BW494" s="1"/>
      <c r="BX494" s="1"/>
      <c r="BY494" s="1"/>
      <c r="BZ494" s="1"/>
      <c r="CA494" s="1"/>
      <c r="CM494"/>
      <c r="CN494"/>
      <c r="CO494"/>
      <c r="CP494"/>
      <c r="CQ494"/>
      <c r="CR494"/>
    </row>
    <row r="495" spans="33:96">
      <c r="AG495" s="1"/>
      <c r="AH495" s="1"/>
      <c r="AI495" s="1"/>
      <c r="AJ495" s="1"/>
      <c r="AR495" s="1"/>
      <c r="AS495" s="1"/>
      <c r="AT495" s="1"/>
      <c r="AV495" s="1"/>
      <c r="BC495" s="1"/>
      <c r="BD495" s="1"/>
      <c r="BE495" s="1"/>
      <c r="BF495" s="1"/>
      <c r="BG495" s="1"/>
      <c r="BH495" s="1"/>
      <c r="BI495" s="1"/>
      <c r="BJ495" s="1"/>
      <c r="BK495" s="1"/>
      <c r="BL495" s="1"/>
      <c r="BM495" s="1"/>
      <c r="BN495" s="1"/>
      <c r="BO495" s="1"/>
      <c r="BP495" s="1"/>
      <c r="BQ495" s="1"/>
      <c r="BR495" s="1"/>
      <c r="BS495" s="1"/>
      <c r="BT495" s="1"/>
      <c r="BU495" s="1"/>
      <c r="BV495" s="1"/>
      <c r="BW495" s="1"/>
      <c r="BX495" s="1"/>
      <c r="BY495" s="1"/>
      <c r="BZ495" s="1"/>
      <c r="CA495" s="1"/>
      <c r="CM495"/>
      <c r="CN495"/>
      <c r="CO495"/>
      <c r="CP495"/>
      <c r="CQ495"/>
      <c r="CR495"/>
    </row>
    <row r="496" spans="33:96">
      <c r="AG496" s="1"/>
      <c r="AH496" s="1"/>
      <c r="AI496" s="1"/>
      <c r="AJ496" s="1"/>
      <c r="AR496" s="1"/>
      <c r="AS496" s="1"/>
      <c r="AT496" s="1"/>
      <c r="AV496" s="1"/>
      <c r="BC496" s="1"/>
      <c r="BD496" s="1"/>
      <c r="BE496" s="1"/>
      <c r="BF496" s="1"/>
      <c r="BG496" s="1"/>
      <c r="BH496" s="1"/>
      <c r="BI496" s="1"/>
      <c r="BJ496" s="1"/>
      <c r="BK496" s="1"/>
      <c r="BL496" s="1"/>
      <c r="BM496" s="1"/>
      <c r="BN496" s="1"/>
      <c r="BO496" s="1"/>
      <c r="BP496" s="1"/>
      <c r="BQ496" s="1"/>
      <c r="BR496" s="1"/>
      <c r="BS496" s="1"/>
      <c r="BT496" s="1"/>
      <c r="BU496" s="1"/>
      <c r="BV496" s="1"/>
      <c r="BW496" s="1"/>
      <c r="BX496" s="1"/>
      <c r="BY496" s="1"/>
      <c r="BZ496" s="1"/>
      <c r="CA496" s="1"/>
      <c r="CM496"/>
      <c r="CN496"/>
      <c r="CO496"/>
      <c r="CP496"/>
      <c r="CQ496"/>
      <c r="CR496"/>
    </row>
    <row r="497" spans="33:96">
      <c r="AG497" s="1"/>
      <c r="AH497" s="1"/>
      <c r="AI497" s="1"/>
      <c r="AJ497" s="1"/>
      <c r="AR497" s="1"/>
      <c r="AS497" s="1"/>
      <c r="AT497" s="1"/>
      <c r="AV497" s="1"/>
      <c r="BC497" s="1"/>
      <c r="BD497" s="1"/>
      <c r="BE497" s="1"/>
      <c r="BF497" s="1"/>
      <c r="BG497" s="1"/>
      <c r="BH497" s="1"/>
      <c r="BI497" s="1"/>
      <c r="BJ497" s="1"/>
      <c r="BK497" s="1"/>
      <c r="BL497" s="1"/>
      <c r="BM497" s="1"/>
      <c r="BN497" s="1"/>
      <c r="BO497" s="1"/>
      <c r="BP497" s="1"/>
      <c r="BQ497" s="1"/>
      <c r="BR497" s="1"/>
      <c r="BS497" s="1"/>
      <c r="BT497" s="1"/>
      <c r="BU497" s="1"/>
      <c r="BV497" s="1"/>
      <c r="BW497" s="1"/>
      <c r="BX497" s="1"/>
      <c r="BY497" s="1"/>
      <c r="BZ497" s="1"/>
      <c r="CA497" s="1"/>
      <c r="CM497"/>
      <c r="CN497"/>
      <c r="CO497"/>
      <c r="CP497"/>
      <c r="CQ497"/>
      <c r="CR497"/>
    </row>
    <row r="498" spans="33:96">
      <c r="AG498" s="1"/>
      <c r="AH498" s="1"/>
      <c r="AI498" s="1"/>
      <c r="AJ498" s="1"/>
      <c r="AR498" s="1"/>
      <c r="AS498" s="1"/>
      <c r="AT498" s="1"/>
      <c r="AV498" s="1"/>
      <c r="BC498" s="1"/>
      <c r="BD498" s="1"/>
      <c r="BE498" s="1"/>
      <c r="BF498" s="1"/>
      <c r="BG498" s="1"/>
      <c r="BH498" s="1"/>
      <c r="BI498" s="1"/>
      <c r="BJ498" s="1"/>
      <c r="BK498" s="1"/>
      <c r="BL498" s="1"/>
      <c r="BM498" s="1"/>
      <c r="BN498" s="1"/>
      <c r="BO498" s="1"/>
      <c r="BP498" s="1"/>
      <c r="BQ498" s="1"/>
      <c r="BR498" s="1"/>
      <c r="BS498" s="1"/>
      <c r="BT498" s="1"/>
      <c r="BU498" s="1"/>
      <c r="BV498" s="1"/>
      <c r="BW498" s="1"/>
      <c r="BX498" s="1"/>
      <c r="BY498" s="1"/>
      <c r="BZ498" s="1"/>
      <c r="CA498" s="1"/>
      <c r="CM498"/>
      <c r="CN498"/>
      <c r="CO498"/>
      <c r="CP498"/>
      <c r="CQ498"/>
      <c r="CR498"/>
    </row>
    <row r="499" spans="33:96">
      <c r="AG499" s="1"/>
      <c r="AH499" s="1"/>
      <c r="AI499" s="1"/>
      <c r="AJ499" s="1"/>
      <c r="AR499" s="1"/>
      <c r="AS499" s="1"/>
      <c r="AT499" s="1"/>
      <c r="AV499" s="1"/>
      <c r="BC499" s="1"/>
      <c r="BD499" s="1"/>
      <c r="BE499" s="1"/>
      <c r="BF499" s="1"/>
      <c r="BG499" s="1"/>
      <c r="BH499" s="1"/>
      <c r="BI499" s="1"/>
      <c r="BJ499" s="1"/>
      <c r="BK499" s="1"/>
      <c r="BL499" s="1"/>
      <c r="BM499" s="1"/>
      <c r="BN499" s="1"/>
      <c r="BO499" s="1"/>
      <c r="BP499" s="1"/>
      <c r="BQ499" s="1"/>
      <c r="BR499" s="1"/>
      <c r="BS499" s="1"/>
      <c r="BT499" s="1"/>
      <c r="BU499" s="1"/>
      <c r="BV499" s="1"/>
      <c r="BW499" s="1"/>
      <c r="BX499" s="1"/>
      <c r="BY499" s="1"/>
      <c r="BZ499" s="1"/>
      <c r="CA499" s="1"/>
      <c r="CM499"/>
      <c r="CN499"/>
      <c r="CO499"/>
      <c r="CP499"/>
      <c r="CQ499"/>
      <c r="CR499"/>
    </row>
    <row r="500" spans="33:96">
      <c r="AG500" s="1"/>
      <c r="AH500" s="1"/>
      <c r="AI500" s="1"/>
      <c r="AJ500" s="1"/>
      <c r="AR500" s="1"/>
      <c r="AS500" s="1"/>
      <c r="AT500" s="1"/>
      <c r="AV500" s="1"/>
      <c r="BC500" s="1"/>
      <c r="BD500" s="1"/>
      <c r="BE500" s="1"/>
      <c r="BF500" s="1"/>
      <c r="BG500" s="1"/>
      <c r="BH500" s="1"/>
      <c r="BI500" s="1"/>
      <c r="BJ500" s="1"/>
      <c r="BK500" s="1"/>
      <c r="BL500" s="1"/>
      <c r="BM500" s="1"/>
      <c r="BN500" s="1"/>
      <c r="BO500" s="1"/>
      <c r="BP500" s="1"/>
      <c r="BQ500" s="1"/>
      <c r="BR500" s="1"/>
      <c r="BS500" s="1"/>
      <c r="BT500" s="1"/>
      <c r="BU500" s="1"/>
      <c r="BV500" s="1"/>
      <c r="BW500" s="1"/>
      <c r="BX500" s="1"/>
      <c r="BY500" s="1"/>
      <c r="BZ500" s="1"/>
      <c r="CA500" s="1"/>
      <c r="CM500"/>
      <c r="CN500"/>
      <c r="CO500"/>
      <c r="CP500"/>
      <c r="CQ500"/>
      <c r="CR500"/>
    </row>
    <row r="501" spans="33:96">
      <c r="AG501" s="1"/>
      <c r="AH501" s="1"/>
      <c r="AI501" s="1"/>
      <c r="AJ501" s="1"/>
      <c r="AR501" s="1"/>
      <c r="AS501" s="1"/>
      <c r="AT501" s="1"/>
      <c r="AV501" s="1"/>
      <c r="BC501" s="1"/>
      <c r="BD501" s="1"/>
      <c r="BE501" s="1"/>
      <c r="BF501" s="1"/>
      <c r="BG501" s="1"/>
      <c r="BH501" s="1"/>
      <c r="BI501" s="1"/>
      <c r="BJ501" s="1"/>
      <c r="BK501" s="1"/>
      <c r="BL501" s="1"/>
      <c r="BM501" s="1"/>
      <c r="BN501" s="1"/>
      <c r="BO501" s="1"/>
      <c r="BP501" s="1"/>
      <c r="BQ501" s="1"/>
      <c r="BR501" s="1"/>
      <c r="BS501" s="1"/>
      <c r="BT501" s="1"/>
      <c r="BU501" s="1"/>
      <c r="BV501" s="1"/>
      <c r="BW501" s="1"/>
      <c r="BX501" s="1"/>
      <c r="BY501" s="1"/>
      <c r="BZ501" s="1"/>
      <c r="CA501" s="1"/>
      <c r="CM501"/>
      <c r="CN501"/>
      <c r="CO501"/>
      <c r="CP501"/>
      <c r="CQ501"/>
      <c r="CR501"/>
    </row>
    <row r="502" spans="33:96">
      <c r="AG502" s="1"/>
      <c r="AH502" s="1"/>
      <c r="AI502" s="1"/>
      <c r="AJ502" s="1"/>
      <c r="AR502" s="1"/>
      <c r="AS502" s="1"/>
      <c r="AT502" s="1"/>
      <c r="AV502" s="1"/>
      <c r="BC502" s="1"/>
      <c r="BD502" s="1"/>
      <c r="BE502" s="1"/>
      <c r="BF502" s="1"/>
      <c r="BG502" s="1"/>
      <c r="BH502" s="1"/>
      <c r="BI502" s="1"/>
      <c r="BJ502" s="1"/>
      <c r="BK502" s="1"/>
      <c r="BL502" s="1"/>
      <c r="BM502" s="1"/>
      <c r="BN502" s="1"/>
      <c r="BO502" s="1"/>
      <c r="BP502" s="1"/>
      <c r="BQ502" s="1"/>
      <c r="BR502" s="1"/>
      <c r="BS502" s="1"/>
      <c r="BT502" s="1"/>
      <c r="BU502" s="1"/>
      <c r="BV502" s="1"/>
      <c r="BW502" s="1"/>
      <c r="BX502" s="1"/>
      <c r="BY502" s="1"/>
      <c r="BZ502" s="1"/>
      <c r="CA502" s="1"/>
      <c r="CM502"/>
      <c r="CN502"/>
      <c r="CO502"/>
      <c r="CP502"/>
      <c r="CQ502"/>
      <c r="CR502"/>
    </row>
    <row r="503" spans="33:96">
      <c r="AG503" s="1"/>
      <c r="AH503" s="1"/>
      <c r="AI503" s="1"/>
      <c r="AJ503" s="1"/>
      <c r="AR503" s="1"/>
      <c r="AS503" s="1"/>
      <c r="AT503" s="1"/>
      <c r="AV503" s="1"/>
      <c r="BC503" s="1"/>
      <c r="BD503" s="1"/>
      <c r="BE503" s="1"/>
      <c r="BF503" s="1"/>
      <c r="BG503" s="1"/>
      <c r="BH503" s="1"/>
      <c r="BI503" s="1"/>
      <c r="BJ503" s="1"/>
      <c r="BK503" s="1"/>
      <c r="BL503" s="1"/>
      <c r="BM503" s="1"/>
      <c r="BN503" s="1"/>
      <c r="BO503" s="1"/>
      <c r="BP503" s="1"/>
      <c r="BQ503" s="1"/>
      <c r="BR503" s="1"/>
      <c r="BS503" s="1"/>
      <c r="BT503" s="1"/>
      <c r="BU503" s="1"/>
      <c r="BV503" s="1"/>
      <c r="BW503" s="1"/>
      <c r="BX503" s="1"/>
      <c r="BY503" s="1"/>
      <c r="BZ503" s="1"/>
      <c r="CA503" s="1"/>
      <c r="CM503"/>
      <c r="CN503"/>
      <c r="CO503"/>
      <c r="CP503"/>
      <c r="CQ503"/>
      <c r="CR503"/>
    </row>
    <row r="504" spans="33:96">
      <c r="AG504" s="1"/>
      <c r="AH504" s="1"/>
      <c r="AI504" s="1"/>
      <c r="AJ504" s="1"/>
      <c r="AR504" s="1"/>
      <c r="AS504" s="1"/>
      <c r="AT504" s="1"/>
      <c r="AV504" s="1"/>
      <c r="BC504" s="1"/>
      <c r="BD504" s="1"/>
      <c r="BE504" s="1"/>
      <c r="BF504" s="1"/>
      <c r="BG504" s="1"/>
      <c r="BH504" s="1"/>
      <c r="BI504" s="1"/>
      <c r="BJ504" s="1"/>
      <c r="BK504" s="1"/>
      <c r="BL504" s="1"/>
      <c r="BM504" s="1"/>
      <c r="BN504" s="1"/>
      <c r="BO504" s="1"/>
      <c r="BP504" s="1"/>
      <c r="BQ504" s="1"/>
      <c r="BR504" s="1"/>
      <c r="BS504" s="1"/>
      <c r="BT504" s="1"/>
      <c r="BU504" s="1"/>
      <c r="BV504" s="1"/>
      <c r="BW504" s="1"/>
      <c r="BX504" s="1"/>
      <c r="BY504" s="1"/>
      <c r="BZ504" s="1"/>
      <c r="CA504" s="1"/>
      <c r="CM504"/>
      <c r="CN504"/>
      <c r="CO504"/>
      <c r="CP504"/>
      <c r="CQ504"/>
      <c r="CR504"/>
    </row>
    <row r="505" spans="33:96">
      <c r="AG505" s="1"/>
      <c r="AH505" s="1"/>
      <c r="AI505" s="1"/>
      <c r="AJ505" s="1"/>
      <c r="AR505" s="1"/>
      <c r="AS505" s="1"/>
      <c r="AT505" s="1"/>
      <c r="AV505" s="1"/>
      <c r="BC505" s="1"/>
      <c r="BD505" s="1"/>
      <c r="BE505" s="1"/>
      <c r="BF505" s="1"/>
      <c r="BG505" s="1"/>
      <c r="BH505" s="1"/>
      <c r="BI505" s="1"/>
      <c r="BJ505" s="1"/>
      <c r="BK505" s="1"/>
      <c r="BL505" s="1"/>
      <c r="BM505" s="1"/>
      <c r="BN505" s="1"/>
      <c r="BO505" s="1"/>
      <c r="BP505" s="1"/>
      <c r="BQ505" s="1"/>
      <c r="BR505" s="1"/>
      <c r="BS505" s="1"/>
      <c r="BT505" s="1"/>
      <c r="BU505" s="1"/>
      <c r="BV505" s="1"/>
      <c r="BW505" s="1"/>
      <c r="BX505" s="1"/>
      <c r="BY505" s="1"/>
      <c r="BZ505" s="1"/>
      <c r="CA505" s="1"/>
      <c r="CM505"/>
      <c r="CN505"/>
      <c r="CO505"/>
      <c r="CP505"/>
      <c r="CQ505"/>
      <c r="CR505"/>
    </row>
    <row r="506" spans="33:96">
      <c r="AG506" s="1"/>
      <c r="AH506" s="1"/>
      <c r="AI506" s="1"/>
      <c r="AJ506" s="1"/>
      <c r="AR506" s="1"/>
      <c r="AS506" s="1"/>
      <c r="AT506" s="1"/>
      <c r="AV506" s="1"/>
      <c r="BC506" s="1"/>
      <c r="BD506" s="1"/>
      <c r="BE506" s="1"/>
      <c r="BF506" s="1"/>
      <c r="BG506" s="1"/>
      <c r="BH506" s="1"/>
      <c r="BI506" s="1"/>
      <c r="BJ506" s="1"/>
      <c r="BK506" s="1"/>
      <c r="BL506" s="1"/>
      <c r="BM506" s="1"/>
      <c r="BN506" s="1"/>
      <c r="BO506" s="1"/>
      <c r="BP506" s="1"/>
      <c r="BQ506" s="1"/>
      <c r="BR506" s="1"/>
      <c r="BS506" s="1"/>
      <c r="BT506" s="1"/>
      <c r="BU506" s="1"/>
      <c r="BV506" s="1"/>
      <c r="BW506" s="1"/>
      <c r="BX506" s="1"/>
      <c r="BY506" s="1"/>
      <c r="BZ506" s="1"/>
      <c r="CA506" s="1"/>
      <c r="CM506"/>
      <c r="CN506"/>
      <c r="CO506"/>
      <c r="CP506"/>
      <c r="CQ506"/>
      <c r="CR506"/>
    </row>
    <row r="507" spans="33:96">
      <c r="AG507" s="1"/>
      <c r="AH507" s="1"/>
      <c r="AI507" s="1"/>
      <c r="AJ507" s="1"/>
      <c r="AR507" s="1"/>
      <c r="AS507" s="1"/>
      <c r="AT507" s="1"/>
      <c r="AV507" s="1"/>
      <c r="BC507" s="1"/>
      <c r="BD507" s="1"/>
      <c r="BE507" s="1"/>
      <c r="BF507" s="1"/>
      <c r="BG507" s="1"/>
      <c r="BH507" s="1"/>
      <c r="BI507" s="1"/>
      <c r="BJ507" s="1"/>
      <c r="BK507" s="1"/>
      <c r="BL507" s="1"/>
      <c r="BM507" s="1"/>
      <c r="BN507" s="1"/>
      <c r="BO507" s="1"/>
      <c r="BP507" s="1"/>
      <c r="BQ507" s="1"/>
      <c r="BR507" s="1"/>
      <c r="BS507" s="1"/>
      <c r="BT507" s="1"/>
      <c r="BU507" s="1"/>
      <c r="BV507" s="1"/>
      <c r="BW507" s="1"/>
      <c r="BX507" s="1"/>
      <c r="BY507" s="1"/>
      <c r="BZ507" s="1"/>
      <c r="CA507" s="1"/>
      <c r="CM507"/>
      <c r="CN507"/>
      <c r="CO507"/>
      <c r="CP507"/>
      <c r="CQ507"/>
      <c r="CR507"/>
    </row>
    <row r="508" spans="33:96">
      <c r="AG508" s="1"/>
      <c r="AH508" s="1"/>
      <c r="AI508" s="1"/>
      <c r="AJ508" s="1"/>
      <c r="AR508" s="1"/>
      <c r="AS508" s="1"/>
      <c r="AT508" s="1"/>
      <c r="AV508" s="1"/>
      <c r="BC508" s="1"/>
      <c r="BD508" s="1"/>
      <c r="BE508" s="1"/>
      <c r="BF508" s="1"/>
      <c r="BG508" s="1"/>
      <c r="BH508" s="1"/>
      <c r="BI508" s="1"/>
      <c r="BJ508" s="1"/>
      <c r="BK508" s="1"/>
      <c r="BL508" s="1"/>
      <c r="BM508" s="1"/>
      <c r="BN508" s="1"/>
      <c r="BO508" s="1"/>
      <c r="BP508" s="1"/>
      <c r="BQ508" s="1"/>
      <c r="BR508" s="1"/>
      <c r="BS508" s="1"/>
      <c r="BT508" s="1"/>
      <c r="BU508" s="1"/>
      <c r="BV508" s="1"/>
      <c r="BW508" s="1"/>
      <c r="BX508" s="1"/>
      <c r="BY508" s="1"/>
      <c r="BZ508" s="1"/>
      <c r="CA508" s="1"/>
      <c r="CM508"/>
      <c r="CN508"/>
      <c r="CO508"/>
      <c r="CP508"/>
      <c r="CQ508"/>
      <c r="CR508"/>
    </row>
    <row r="509" spans="33:96">
      <c r="AG509" s="1"/>
      <c r="AH509" s="1"/>
      <c r="AI509" s="1"/>
      <c r="AJ509" s="1"/>
      <c r="AR509" s="1"/>
      <c r="AS509" s="1"/>
      <c r="AT509" s="1"/>
      <c r="AV509" s="1"/>
      <c r="BC509" s="1"/>
      <c r="BD509" s="1"/>
      <c r="BE509" s="1"/>
      <c r="BF509" s="1"/>
      <c r="BG509" s="1"/>
      <c r="BH509" s="1"/>
      <c r="BI509" s="1"/>
      <c r="BJ509" s="1"/>
      <c r="BK509" s="1"/>
      <c r="BL509" s="1"/>
      <c r="BM509" s="1"/>
      <c r="BN509" s="1"/>
      <c r="BO509" s="1"/>
      <c r="BP509" s="1"/>
      <c r="BQ509" s="1"/>
      <c r="BR509" s="1"/>
      <c r="BS509" s="1"/>
      <c r="BT509" s="1"/>
      <c r="BU509" s="1"/>
      <c r="BV509" s="1"/>
      <c r="BW509" s="1"/>
      <c r="BX509" s="1"/>
      <c r="BY509" s="1"/>
      <c r="BZ509" s="1"/>
      <c r="CA509" s="1"/>
      <c r="CM509"/>
      <c r="CN509"/>
      <c r="CO509"/>
      <c r="CP509"/>
      <c r="CQ509"/>
      <c r="CR509"/>
    </row>
    <row r="510" spans="33:96">
      <c r="AG510" s="1"/>
      <c r="AH510" s="1"/>
      <c r="AI510" s="1"/>
      <c r="AJ510" s="1"/>
      <c r="AR510" s="1"/>
      <c r="AS510" s="1"/>
      <c r="AT510" s="1"/>
      <c r="AV510" s="1"/>
      <c r="BC510" s="1"/>
      <c r="BD510" s="1"/>
      <c r="BE510" s="1"/>
      <c r="BF510" s="1"/>
      <c r="BG510" s="1"/>
      <c r="BH510" s="1"/>
      <c r="BI510" s="1"/>
      <c r="BJ510" s="1"/>
      <c r="BK510" s="1"/>
      <c r="BL510" s="1"/>
      <c r="BM510" s="1"/>
      <c r="BN510" s="1"/>
      <c r="BO510" s="1"/>
      <c r="BP510" s="1"/>
      <c r="BQ510" s="1"/>
      <c r="BR510" s="1"/>
      <c r="BS510" s="1"/>
      <c r="BT510" s="1"/>
      <c r="BU510" s="1"/>
      <c r="BV510" s="1"/>
      <c r="BW510" s="1"/>
      <c r="BX510" s="1"/>
      <c r="BY510" s="1"/>
      <c r="BZ510" s="1"/>
      <c r="CA510" s="1"/>
      <c r="CM510"/>
      <c r="CN510"/>
      <c r="CO510"/>
      <c r="CP510"/>
      <c r="CQ510"/>
      <c r="CR510"/>
    </row>
    <row r="511" spans="33:96">
      <c r="AG511" s="1"/>
      <c r="AH511" s="1"/>
      <c r="AI511" s="1"/>
      <c r="AJ511" s="1"/>
      <c r="AR511" s="1"/>
      <c r="AS511" s="1"/>
      <c r="AT511" s="1"/>
      <c r="AV511" s="1"/>
      <c r="BC511" s="1"/>
      <c r="BD511" s="1"/>
      <c r="BE511" s="1"/>
      <c r="BF511" s="1"/>
      <c r="BG511" s="1"/>
      <c r="BH511" s="1"/>
      <c r="BI511" s="1"/>
      <c r="BJ511" s="1"/>
      <c r="BK511" s="1"/>
      <c r="BL511" s="1"/>
      <c r="BM511" s="1"/>
      <c r="BN511" s="1"/>
      <c r="BO511" s="1"/>
      <c r="BP511" s="1"/>
      <c r="BQ511" s="1"/>
      <c r="BR511" s="1"/>
      <c r="BS511" s="1"/>
      <c r="BT511" s="1"/>
      <c r="BU511" s="1"/>
      <c r="BV511" s="1"/>
      <c r="BW511" s="1"/>
      <c r="BX511" s="1"/>
      <c r="BY511" s="1"/>
      <c r="BZ511" s="1"/>
      <c r="CA511" s="1"/>
      <c r="CM511"/>
      <c r="CN511"/>
      <c r="CO511"/>
      <c r="CP511"/>
      <c r="CQ511"/>
      <c r="CR511"/>
    </row>
    <row r="512" spans="33:96">
      <c r="AG512" s="1"/>
      <c r="AH512" s="1"/>
      <c r="AI512" s="1"/>
      <c r="AJ512" s="1"/>
      <c r="AR512" s="1"/>
      <c r="AS512" s="1"/>
      <c r="AT512" s="1"/>
      <c r="AV512" s="1"/>
      <c r="BC512" s="1"/>
      <c r="BD512" s="1"/>
      <c r="BE512" s="1"/>
      <c r="BF512" s="1"/>
      <c r="BG512" s="1"/>
      <c r="BH512" s="1"/>
      <c r="BI512" s="1"/>
      <c r="BJ512" s="1"/>
      <c r="BK512" s="1"/>
      <c r="BL512" s="1"/>
      <c r="BM512" s="1"/>
      <c r="BN512" s="1"/>
      <c r="BO512" s="1"/>
      <c r="BP512" s="1"/>
      <c r="BQ512" s="1"/>
      <c r="BR512" s="1"/>
      <c r="BS512" s="1"/>
      <c r="BT512" s="1"/>
      <c r="BU512" s="1"/>
      <c r="BV512" s="1"/>
      <c r="BW512" s="1"/>
      <c r="BX512" s="1"/>
      <c r="BY512" s="1"/>
      <c r="BZ512" s="1"/>
      <c r="CA512" s="1"/>
      <c r="CM512"/>
      <c r="CN512"/>
      <c r="CO512"/>
      <c r="CP512"/>
      <c r="CQ512"/>
      <c r="CR512"/>
    </row>
    <row r="513" spans="33:96">
      <c r="AG513" s="1"/>
      <c r="AH513" s="1"/>
      <c r="AI513" s="1"/>
      <c r="AJ513" s="1"/>
      <c r="AR513" s="1"/>
      <c r="AS513" s="1"/>
      <c r="AT513" s="1"/>
      <c r="AV513" s="1"/>
      <c r="BC513" s="1"/>
      <c r="BD513" s="1"/>
      <c r="BE513" s="1"/>
      <c r="BF513" s="1"/>
      <c r="BG513" s="1"/>
      <c r="BH513" s="1"/>
      <c r="BI513" s="1"/>
      <c r="BJ513" s="1"/>
      <c r="BK513" s="1"/>
      <c r="BL513" s="1"/>
      <c r="BM513" s="1"/>
      <c r="BN513" s="1"/>
      <c r="BO513" s="1"/>
      <c r="BP513" s="1"/>
      <c r="BQ513" s="1"/>
      <c r="BR513" s="1"/>
      <c r="BS513" s="1"/>
      <c r="BT513" s="1"/>
      <c r="BU513" s="1"/>
      <c r="BV513" s="1"/>
      <c r="BW513" s="1"/>
      <c r="BX513" s="1"/>
      <c r="BY513" s="1"/>
      <c r="BZ513" s="1"/>
      <c r="CA513" s="1"/>
      <c r="CM513"/>
      <c r="CN513"/>
      <c r="CO513"/>
      <c r="CP513"/>
      <c r="CQ513"/>
      <c r="CR513"/>
    </row>
    <row r="514" spans="33:96">
      <c r="AG514" s="1"/>
      <c r="AH514" s="1"/>
      <c r="AI514" s="1"/>
      <c r="AJ514" s="1"/>
      <c r="AR514" s="1"/>
      <c r="AS514" s="1"/>
      <c r="AT514" s="1"/>
      <c r="AV514" s="1"/>
      <c r="BC514" s="1"/>
      <c r="BD514" s="1"/>
      <c r="BE514" s="1"/>
      <c r="BF514" s="1"/>
      <c r="BG514" s="1"/>
      <c r="BH514" s="1"/>
      <c r="BI514" s="1"/>
      <c r="BJ514" s="1"/>
      <c r="BK514" s="1"/>
      <c r="BL514" s="1"/>
      <c r="BM514" s="1"/>
      <c r="BN514" s="1"/>
      <c r="BO514" s="1"/>
      <c r="BP514" s="1"/>
      <c r="BQ514" s="1"/>
      <c r="BR514" s="1"/>
      <c r="BS514" s="1"/>
      <c r="BT514" s="1"/>
      <c r="BU514" s="1"/>
      <c r="BV514" s="1"/>
      <c r="BW514" s="1"/>
      <c r="BX514" s="1"/>
      <c r="BY514" s="1"/>
      <c r="BZ514" s="1"/>
      <c r="CA514" s="1"/>
      <c r="CM514"/>
      <c r="CN514"/>
      <c r="CO514"/>
      <c r="CP514"/>
      <c r="CQ514"/>
      <c r="CR514"/>
    </row>
    <row r="515" spans="33:96">
      <c r="AG515" s="1"/>
      <c r="AH515" s="1"/>
      <c r="AI515" s="1"/>
      <c r="AJ515" s="1"/>
      <c r="AR515" s="1"/>
      <c r="AS515" s="1"/>
      <c r="AT515" s="1"/>
      <c r="AV515" s="1"/>
      <c r="BC515" s="1"/>
      <c r="BD515" s="1"/>
      <c r="BE515" s="1"/>
      <c r="BF515" s="1"/>
      <c r="BG515" s="1"/>
      <c r="BH515" s="1"/>
      <c r="BI515" s="1"/>
      <c r="BJ515" s="1"/>
      <c r="BK515" s="1"/>
      <c r="BL515" s="1"/>
      <c r="BM515" s="1"/>
      <c r="BN515" s="1"/>
      <c r="BO515" s="1"/>
      <c r="BP515" s="1"/>
      <c r="BQ515" s="1"/>
      <c r="BR515" s="1"/>
      <c r="BS515" s="1"/>
      <c r="BT515" s="1"/>
      <c r="BU515" s="1"/>
      <c r="BV515" s="1"/>
      <c r="BW515" s="1"/>
      <c r="BX515" s="1"/>
      <c r="BY515" s="1"/>
      <c r="BZ515" s="1"/>
      <c r="CA515" s="1"/>
      <c r="CM515"/>
      <c r="CN515"/>
      <c r="CO515"/>
      <c r="CP515"/>
      <c r="CQ515"/>
      <c r="CR515"/>
    </row>
    <row r="516" spans="33:96">
      <c r="AG516" s="1"/>
      <c r="AH516" s="1"/>
      <c r="AI516" s="1"/>
      <c r="AJ516" s="1"/>
      <c r="AR516" s="1"/>
      <c r="AS516" s="1"/>
      <c r="AT516" s="1"/>
      <c r="AV516" s="1"/>
      <c r="BC516" s="1"/>
      <c r="BD516" s="1"/>
      <c r="BE516" s="1"/>
      <c r="BF516" s="1"/>
      <c r="BG516" s="1"/>
      <c r="BH516" s="1"/>
      <c r="BI516" s="1"/>
      <c r="BJ516" s="1"/>
      <c r="BK516" s="1"/>
      <c r="BL516" s="1"/>
      <c r="BM516" s="1"/>
      <c r="BN516" s="1"/>
      <c r="BO516" s="1"/>
      <c r="BP516" s="1"/>
      <c r="BQ516" s="1"/>
      <c r="BR516" s="1"/>
      <c r="BS516" s="1"/>
      <c r="BT516" s="1"/>
      <c r="BU516" s="1"/>
      <c r="BV516" s="1"/>
      <c r="BW516" s="1"/>
      <c r="BX516" s="1"/>
      <c r="BY516" s="1"/>
      <c r="BZ516" s="1"/>
      <c r="CA516" s="1"/>
      <c r="CM516"/>
      <c r="CN516"/>
      <c r="CO516"/>
      <c r="CP516"/>
      <c r="CQ516"/>
      <c r="CR516"/>
    </row>
    <row r="517" spans="33:96">
      <c r="AG517" s="1"/>
      <c r="AH517" s="1"/>
      <c r="AI517" s="1"/>
      <c r="AJ517" s="1"/>
      <c r="AR517" s="1"/>
      <c r="AS517" s="1"/>
      <c r="AT517" s="1"/>
      <c r="AV517" s="1"/>
      <c r="BC517" s="1"/>
      <c r="BD517" s="1"/>
      <c r="BE517" s="1"/>
      <c r="BF517" s="1"/>
      <c r="BG517" s="1"/>
      <c r="BH517" s="1"/>
      <c r="BI517" s="1"/>
      <c r="BJ517" s="1"/>
      <c r="BK517" s="1"/>
      <c r="BL517" s="1"/>
      <c r="BM517" s="1"/>
      <c r="BN517" s="1"/>
      <c r="BO517" s="1"/>
      <c r="BP517" s="1"/>
      <c r="BQ517" s="1"/>
      <c r="BR517" s="1"/>
      <c r="BS517" s="1"/>
      <c r="BT517" s="1"/>
      <c r="BU517" s="1"/>
      <c r="BV517" s="1"/>
      <c r="BW517" s="1"/>
      <c r="BX517" s="1"/>
      <c r="BY517" s="1"/>
      <c r="BZ517" s="1"/>
      <c r="CA517" s="1"/>
      <c r="CM517"/>
      <c r="CN517"/>
      <c r="CO517"/>
      <c r="CP517"/>
      <c r="CQ517"/>
      <c r="CR517"/>
    </row>
    <row r="518" spans="33:96">
      <c r="AG518" s="1"/>
      <c r="AH518" s="1"/>
      <c r="AI518" s="1"/>
      <c r="AJ518" s="1"/>
      <c r="AR518" s="1"/>
      <c r="AS518" s="1"/>
      <c r="AT518" s="1"/>
      <c r="AV518" s="1"/>
      <c r="BC518" s="1"/>
      <c r="BD518" s="1"/>
      <c r="BE518" s="1"/>
      <c r="BF518" s="1"/>
      <c r="BG518" s="1"/>
      <c r="BH518" s="1"/>
      <c r="BI518" s="1"/>
      <c r="BJ518" s="1"/>
      <c r="BK518" s="1"/>
      <c r="BL518" s="1"/>
      <c r="BM518" s="1"/>
      <c r="BN518" s="1"/>
      <c r="BO518" s="1"/>
      <c r="BP518" s="1"/>
      <c r="BQ518" s="1"/>
      <c r="BR518" s="1"/>
      <c r="BS518" s="1"/>
      <c r="BT518" s="1"/>
      <c r="BU518" s="1"/>
      <c r="BV518" s="1"/>
      <c r="BW518" s="1"/>
      <c r="BX518" s="1"/>
      <c r="BY518" s="1"/>
      <c r="BZ518" s="1"/>
      <c r="CA518" s="1"/>
      <c r="CM518"/>
      <c r="CN518"/>
      <c r="CO518"/>
      <c r="CP518"/>
      <c r="CQ518"/>
      <c r="CR518"/>
    </row>
    <row r="519" spans="33:96">
      <c r="AG519" s="1"/>
      <c r="AH519" s="1"/>
      <c r="AI519" s="1"/>
      <c r="AJ519" s="1"/>
      <c r="AR519" s="1"/>
      <c r="AS519" s="1"/>
      <c r="AT519" s="1"/>
      <c r="AV519" s="1"/>
      <c r="BC519" s="1"/>
      <c r="BD519" s="1"/>
      <c r="BE519" s="1"/>
      <c r="BF519" s="1"/>
      <c r="BG519" s="1"/>
      <c r="BH519" s="1"/>
      <c r="BI519" s="1"/>
      <c r="BJ519" s="1"/>
      <c r="BK519" s="1"/>
      <c r="BL519" s="1"/>
      <c r="BM519" s="1"/>
      <c r="BN519" s="1"/>
      <c r="BO519" s="1"/>
      <c r="BP519" s="1"/>
      <c r="BQ519" s="1"/>
      <c r="BR519" s="1"/>
      <c r="BS519" s="1"/>
      <c r="BT519" s="1"/>
      <c r="BU519" s="1"/>
      <c r="BV519" s="1"/>
      <c r="BW519" s="1"/>
      <c r="BX519" s="1"/>
      <c r="BY519" s="1"/>
      <c r="BZ519" s="1"/>
      <c r="CA519" s="1"/>
      <c r="CM519"/>
      <c r="CN519"/>
      <c r="CO519"/>
      <c r="CP519"/>
      <c r="CQ519"/>
      <c r="CR519"/>
    </row>
    <row r="520" spans="33:96">
      <c r="AG520" s="1"/>
      <c r="AH520" s="1"/>
      <c r="AI520" s="1"/>
      <c r="AJ520" s="1"/>
      <c r="AR520" s="1"/>
      <c r="AS520" s="1"/>
      <c r="AT520" s="1"/>
      <c r="AV520" s="1"/>
      <c r="BC520" s="1"/>
      <c r="BD520" s="1"/>
      <c r="BE520" s="1"/>
      <c r="BF520" s="1"/>
      <c r="BG520" s="1"/>
      <c r="BH520" s="1"/>
      <c r="BI520" s="1"/>
      <c r="BJ520" s="1"/>
      <c r="BK520" s="1"/>
      <c r="BL520" s="1"/>
      <c r="BM520" s="1"/>
      <c r="BN520" s="1"/>
      <c r="BO520" s="1"/>
      <c r="BP520" s="1"/>
      <c r="BQ520" s="1"/>
      <c r="BR520" s="1"/>
      <c r="BS520" s="1"/>
      <c r="BT520" s="1"/>
      <c r="BU520" s="1"/>
      <c r="BV520" s="1"/>
      <c r="BW520" s="1"/>
      <c r="BX520" s="1"/>
      <c r="BY520" s="1"/>
      <c r="BZ520" s="1"/>
      <c r="CA520" s="1"/>
      <c r="CM520"/>
      <c r="CN520"/>
      <c r="CO520"/>
      <c r="CP520"/>
      <c r="CQ520"/>
      <c r="CR520"/>
    </row>
    <row r="521" spans="33:96">
      <c r="AG521" s="1"/>
      <c r="AH521" s="1"/>
      <c r="AI521" s="1"/>
      <c r="AJ521" s="1"/>
      <c r="AR521" s="1"/>
      <c r="AS521" s="1"/>
      <c r="AT521" s="1"/>
      <c r="AV521" s="1"/>
      <c r="BC521" s="1"/>
      <c r="BD521" s="1"/>
      <c r="BE521" s="1"/>
      <c r="BF521" s="1"/>
      <c r="BG521" s="1"/>
      <c r="BH521" s="1"/>
      <c r="BI521" s="1"/>
      <c r="BJ521" s="1"/>
      <c r="BK521" s="1"/>
      <c r="BL521" s="1"/>
      <c r="BM521" s="1"/>
      <c r="BN521" s="1"/>
      <c r="BO521" s="1"/>
      <c r="BP521" s="1"/>
      <c r="BQ521" s="1"/>
      <c r="BR521" s="1"/>
      <c r="BS521" s="1"/>
      <c r="BT521" s="1"/>
      <c r="BU521" s="1"/>
      <c r="BV521" s="1"/>
      <c r="BW521" s="1"/>
      <c r="BX521" s="1"/>
      <c r="BY521" s="1"/>
      <c r="BZ521" s="1"/>
      <c r="CA521" s="1"/>
      <c r="CM521"/>
      <c r="CN521"/>
      <c r="CO521"/>
      <c r="CP521"/>
      <c r="CQ521"/>
      <c r="CR521"/>
    </row>
    <row r="522" spans="33:96">
      <c r="AG522" s="1"/>
      <c r="AH522" s="1"/>
      <c r="AI522" s="1"/>
      <c r="AJ522" s="1"/>
      <c r="AR522" s="1"/>
      <c r="AS522" s="1"/>
      <c r="AT522" s="1"/>
      <c r="AV522" s="1"/>
      <c r="BC522" s="1"/>
      <c r="BD522" s="1"/>
      <c r="BE522" s="1"/>
      <c r="BF522" s="1"/>
      <c r="BG522" s="1"/>
      <c r="BH522" s="1"/>
      <c r="BI522" s="1"/>
      <c r="BJ522" s="1"/>
      <c r="BK522" s="1"/>
      <c r="BL522" s="1"/>
      <c r="BM522" s="1"/>
      <c r="BN522" s="1"/>
      <c r="BO522" s="1"/>
      <c r="BP522" s="1"/>
      <c r="BQ522" s="1"/>
      <c r="BR522" s="1"/>
      <c r="BS522" s="1"/>
      <c r="BT522" s="1"/>
      <c r="BU522" s="1"/>
      <c r="BV522" s="1"/>
      <c r="BW522" s="1"/>
      <c r="BX522" s="1"/>
      <c r="BY522" s="1"/>
      <c r="BZ522" s="1"/>
      <c r="CA522" s="1"/>
      <c r="CM522"/>
      <c r="CN522"/>
      <c r="CO522"/>
      <c r="CP522"/>
      <c r="CQ522"/>
      <c r="CR522"/>
    </row>
    <row r="523" spans="33:96">
      <c r="AG523" s="1"/>
      <c r="AH523" s="1"/>
      <c r="AI523" s="1"/>
      <c r="AJ523" s="1"/>
      <c r="AR523" s="1"/>
      <c r="AS523" s="1"/>
      <c r="AT523" s="1"/>
      <c r="AV523" s="1"/>
      <c r="BC523" s="1"/>
      <c r="BD523" s="1"/>
      <c r="BE523" s="1"/>
      <c r="BF523" s="1"/>
      <c r="BG523" s="1"/>
      <c r="BH523" s="1"/>
      <c r="BI523" s="1"/>
      <c r="BJ523" s="1"/>
      <c r="BK523" s="1"/>
      <c r="BL523" s="1"/>
      <c r="BM523" s="1"/>
      <c r="BN523" s="1"/>
      <c r="BO523" s="1"/>
      <c r="BP523" s="1"/>
      <c r="BQ523" s="1"/>
      <c r="BR523" s="1"/>
      <c r="BS523" s="1"/>
      <c r="BT523" s="1"/>
      <c r="BU523" s="1"/>
      <c r="BV523" s="1"/>
      <c r="BW523" s="1"/>
      <c r="BX523" s="1"/>
      <c r="BY523" s="1"/>
      <c r="BZ523" s="1"/>
      <c r="CA523" s="1"/>
      <c r="CM523"/>
      <c r="CN523"/>
      <c r="CO523"/>
      <c r="CP523"/>
      <c r="CQ523"/>
      <c r="CR523"/>
    </row>
    <row r="524" spans="33:96">
      <c r="AG524" s="1"/>
      <c r="AH524" s="1"/>
      <c r="AI524" s="1"/>
      <c r="AJ524" s="1"/>
      <c r="AR524" s="1"/>
      <c r="AS524" s="1"/>
      <c r="AT524" s="1"/>
      <c r="AV524" s="1"/>
      <c r="BC524" s="1"/>
      <c r="BD524" s="1"/>
      <c r="BE524" s="1"/>
      <c r="BF524" s="1"/>
      <c r="BG524" s="1"/>
      <c r="BH524" s="1"/>
      <c r="BI524" s="1"/>
      <c r="BJ524" s="1"/>
      <c r="BK524" s="1"/>
      <c r="BL524" s="1"/>
      <c r="BM524" s="1"/>
      <c r="BN524" s="1"/>
      <c r="BO524" s="1"/>
      <c r="BP524" s="1"/>
      <c r="BQ524" s="1"/>
      <c r="BR524" s="1"/>
      <c r="BS524" s="1"/>
      <c r="BT524" s="1"/>
      <c r="BU524" s="1"/>
      <c r="BV524" s="1"/>
      <c r="BW524" s="1"/>
      <c r="BX524" s="1"/>
      <c r="BY524" s="1"/>
      <c r="BZ524" s="1"/>
      <c r="CA524" s="1"/>
      <c r="CM524"/>
      <c r="CN524"/>
      <c r="CO524"/>
      <c r="CP524"/>
      <c r="CQ524"/>
      <c r="CR524"/>
    </row>
    <row r="525" spans="33:96">
      <c r="AG525" s="1"/>
      <c r="AH525" s="1"/>
      <c r="AI525" s="1"/>
      <c r="AJ525" s="1"/>
      <c r="AR525" s="1"/>
      <c r="AS525" s="1"/>
      <c r="AT525" s="1"/>
      <c r="AV525" s="1"/>
      <c r="BC525" s="1"/>
      <c r="BD525" s="1"/>
      <c r="BE525" s="1"/>
      <c r="BF525" s="1"/>
      <c r="BG525" s="1"/>
      <c r="BH525" s="1"/>
      <c r="BI525" s="1"/>
      <c r="BJ525" s="1"/>
      <c r="BK525" s="1"/>
      <c r="BL525" s="1"/>
      <c r="BM525" s="1"/>
      <c r="BN525" s="1"/>
      <c r="BO525" s="1"/>
      <c r="BP525" s="1"/>
      <c r="BQ525" s="1"/>
      <c r="BR525" s="1"/>
      <c r="BS525" s="1"/>
      <c r="BT525" s="1"/>
      <c r="BU525" s="1"/>
      <c r="BV525" s="1"/>
      <c r="BW525" s="1"/>
      <c r="BX525" s="1"/>
      <c r="BY525" s="1"/>
      <c r="BZ525" s="1"/>
      <c r="CA525" s="1"/>
      <c r="CM525"/>
      <c r="CN525"/>
      <c r="CO525"/>
      <c r="CP525"/>
      <c r="CQ525"/>
      <c r="CR525"/>
    </row>
    <row r="526" spans="33:96">
      <c r="AG526" s="1"/>
      <c r="AH526" s="1"/>
      <c r="AI526" s="1"/>
      <c r="AJ526" s="1"/>
      <c r="AR526" s="1"/>
      <c r="AS526" s="1"/>
      <c r="AT526" s="1"/>
      <c r="AV526" s="1"/>
      <c r="BC526" s="1"/>
      <c r="BD526" s="1"/>
      <c r="BE526" s="1"/>
      <c r="BF526" s="1"/>
      <c r="BG526" s="1"/>
      <c r="BH526" s="1"/>
      <c r="BI526" s="1"/>
      <c r="BJ526" s="1"/>
      <c r="BK526" s="1"/>
      <c r="BL526" s="1"/>
      <c r="BM526" s="1"/>
      <c r="BN526" s="1"/>
      <c r="BO526" s="1"/>
      <c r="BP526" s="1"/>
      <c r="BQ526" s="1"/>
      <c r="BR526" s="1"/>
      <c r="BS526" s="1"/>
      <c r="BT526" s="1"/>
      <c r="BU526" s="1"/>
      <c r="BV526" s="1"/>
      <c r="BW526" s="1"/>
      <c r="BX526" s="1"/>
      <c r="BY526" s="1"/>
      <c r="BZ526" s="1"/>
      <c r="CA526" s="1"/>
      <c r="CM526"/>
      <c r="CN526"/>
      <c r="CO526"/>
      <c r="CP526"/>
      <c r="CQ526"/>
      <c r="CR526"/>
    </row>
    <row r="527" spans="33:96">
      <c r="AG527" s="1"/>
      <c r="AH527" s="1"/>
      <c r="AI527" s="1"/>
      <c r="AJ527" s="1"/>
      <c r="AR527" s="1"/>
      <c r="AS527" s="1"/>
      <c r="AT527" s="1"/>
      <c r="AV527" s="1"/>
      <c r="BC527" s="1"/>
      <c r="BD527" s="1"/>
      <c r="BE527" s="1"/>
      <c r="BF527" s="1"/>
      <c r="BG527" s="1"/>
      <c r="BH527" s="1"/>
      <c r="BI527" s="1"/>
      <c r="BJ527" s="1"/>
      <c r="BK527" s="1"/>
      <c r="BL527" s="1"/>
      <c r="BM527" s="1"/>
      <c r="BN527" s="1"/>
      <c r="BO527" s="1"/>
      <c r="BP527" s="1"/>
      <c r="BQ527" s="1"/>
      <c r="BR527" s="1"/>
      <c r="BS527" s="1"/>
      <c r="BT527" s="1"/>
      <c r="BU527" s="1"/>
      <c r="BV527" s="1"/>
      <c r="BW527" s="1"/>
      <c r="BX527" s="1"/>
      <c r="BY527" s="1"/>
      <c r="BZ527" s="1"/>
      <c r="CA527" s="1"/>
      <c r="CM527"/>
      <c r="CN527"/>
      <c r="CO527"/>
      <c r="CP527"/>
      <c r="CQ527"/>
      <c r="CR527"/>
    </row>
    <row r="528" spans="33:96">
      <c r="AG528" s="1"/>
      <c r="AH528" s="1"/>
      <c r="AI528" s="1"/>
      <c r="AJ528" s="1"/>
      <c r="AR528" s="1"/>
      <c r="AS528" s="1"/>
      <c r="AT528" s="1"/>
      <c r="AV528" s="1"/>
      <c r="BC528" s="1"/>
      <c r="BD528" s="1"/>
      <c r="BE528" s="1"/>
      <c r="BF528" s="1"/>
      <c r="BG528" s="1"/>
      <c r="BH528" s="1"/>
      <c r="BI528" s="1"/>
      <c r="BJ528" s="1"/>
      <c r="BK528" s="1"/>
      <c r="BL528" s="1"/>
      <c r="BM528" s="1"/>
      <c r="BN528" s="1"/>
      <c r="BO528" s="1"/>
      <c r="BP528" s="1"/>
      <c r="BQ528" s="1"/>
      <c r="BR528" s="1"/>
      <c r="BS528" s="1"/>
      <c r="BT528" s="1"/>
      <c r="BU528" s="1"/>
      <c r="BV528" s="1"/>
      <c r="BW528" s="1"/>
      <c r="BX528" s="1"/>
      <c r="BY528" s="1"/>
      <c r="BZ528" s="1"/>
      <c r="CA528" s="1"/>
      <c r="CM528"/>
      <c r="CN528"/>
      <c r="CO528"/>
      <c r="CP528"/>
      <c r="CQ528"/>
      <c r="CR528"/>
    </row>
    <row r="529" spans="33:96">
      <c r="AG529" s="1"/>
      <c r="AH529" s="1"/>
      <c r="AI529" s="1"/>
      <c r="AJ529" s="1"/>
      <c r="AR529" s="1"/>
      <c r="AS529" s="1"/>
      <c r="AT529" s="1"/>
      <c r="AV529" s="1"/>
      <c r="BC529" s="1"/>
      <c r="BD529" s="1"/>
      <c r="BE529" s="1"/>
      <c r="BF529" s="1"/>
      <c r="BG529" s="1"/>
      <c r="BH529" s="1"/>
      <c r="BI529" s="1"/>
      <c r="BJ529" s="1"/>
      <c r="BK529" s="1"/>
      <c r="BL529" s="1"/>
      <c r="BM529" s="1"/>
      <c r="BN529" s="1"/>
      <c r="BO529" s="1"/>
      <c r="BP529" s="1"/>
      <c r="BQ529" s="1"/>
      <c r="BR529" s="1"/>
      <c r="BS529" s="1"/>
      <c r="BT529" s="1"/>
      <c r="BU529" s="1"/>
      <c r="BV529" s="1"/>
      <c r="BW529" s="1"/>
      <c r="BX529" s="1"/>
      <c r="BY529" s="1"/>
      <c r="BZ529" s="1"/>
      <c r="CA529" s="1"/>
      <c r="CM529"/>
      <c r="CN529"/>
      <c r="CO529"/>
      <c r="CP529"/>
      <c r="CQ529"/>
      <c r="CR529"/>
    </row>
    <row r="530" spans="33:96">
      <c r="AG530" s="1"/>
      <c r="AH530" s="1"/>
      <c r="AI530" s="1"/>
      <c r="AJ530" s="1"/>
      <c r="AR530" s="1"/>
      <c r="AS530" s="1"/>
      <c r="AT530" s="1"/>
      <c r="AV530" s="1"/>
      <c r="BC530" s="1"/>
      <c r="BD530" s="1"/>
      <c r="BE530" s="1"/>
      <c r="BF530" s="1"/>
      <c r="BG530" s="1"/>
      <c r="BH530" s="1"/>
      <c r="BI530" s="1"/>
      <c r="BJ530" s="1"/>
      <c r="BK530" s="1"/>
      <c r="BL530" s="1"/>
      <c r="BM530" s="1"/>
      <c r="BN530" s="1"/>
      <c r="BO530" s="1"/>
      <c r="BP530" s="1"/>
      <c r="BQ530" s="1"/>
      <c r="BR530" s="1"/>
      <c r="BS530" s="1"/>
      <c r="BT530" s="1"/>
      <c r="BU530" s="1"/>
      <c r="BV530" s="1"/>
      <c r="BW530" s="1"/>
      <c r="BX530" s="1"/>
      <c r="BY530" s="1"/>
      <c r="BZ530" s="1"/>
      <c r="CA530" s="1"/>
      <c r="CM530"/>
      <c r="CN530"/>
      <c r="CO530"/>
      <c r="CP530"/>
      <c r="CQ530"/>
      <c r="CR530"/>
    </row>
    <row r="531" spans="33:96">
      <c r="AG531" s="1"/>
      <c r="AH531" s="1"/>
      <c r="AI531" s="1"/>
      <c r="AJ531" s="1"/>
      <c r="AR531" s="1"/>
      <c r="AS531" s="1"/>
      <c r="AT531" s="1"/>
      <c r="AV531" s="1"/>
      <c r="BC531" s="1"/>
      <c r="BD531" s="1"/>
      <c r="BE531" s="1"/>
      <c r="BF531" s="1"/>
      <c r="BG531" s="1"/>
      <c r="BH531" s="1"/>
      <c r="BI531" s="1"/>
      <c r="BJ531" s="1"/>
      <c r="BK531" s="1"/>
      <c r="BL531" s="1"/>
      <c r="BM531" s="1"/>
      <c r="BN531" s="1"/>
      <c r="BO531" s="1"/>
      <c r="BP531" s="1"/>
      <c r="BQ531" s="1"/>
      <c r="BR531" s="1"/>
      <c r="BS531" s="1"/>
      <c r="BT531" s="1"/>
      <c r="BU531" s="1"/>
      <c r="BV531" s="1"/>
      <c r="BW531" s="1"/>
      <c r="BX531" s="1"/>
      <c r="BY531" s="1"/>
      <c r="BZ531" s="1"/>
      <c r="CA531" s="1"/>
      <c r="CM531"/>
      <c r="CN531"/>
      <c r="CO531"/>
      <c r="CP531"/>
      <c r="CQ531"/>
      <c r="CR531"/>
    </row>
    <row r="532" spans="33:96">
      <c r="AG532" s="1"/>
      <c r="AH532" s="1"/>
      <c r="AI532" s="1"/>
      <c r="AJ532" s="1"/>
      <c r="AR532" s="1"/>
      <c r="AS532" s="1"/>
      <c r="AT532" s="1"/>
      <c r="AV532" s="1"/>
      <c r="BC532" s="1"/>
      <c r="BD532" s="1"/>
      <c r="BE532" s="1"/>
      <c r="BF532" s="1"/>
      <c r="BG532" s="1"/>
      <c r="BH532" s="1"/>
      <c r="BI532" s="1"/>
      <c r="BJ532" s="1"/>
      <c r="BK532" s="1"/>
      <c r="BL532" s="1"/>
      <c r="BM532" s="1"/>
      <c r="BN532" s="1"/>
      <c r="BO532" s="1"/>
      <c r="BP532" s="1"/>
      <c r="BQ532" s="1"/>
      <c r="BR532" s="1"/>
      <c r="BS532" s="1"/>
      <c r="BT532" s="1"/>
      <c r="BU532" s="1"/>
      <c r="BV532" s="1"/>
      <c r="BW532" s="1"/>
      <c r="BX532" s="1"/>
      <c r="BY532" s="1"/>
      <c r="BZ532" s="1"/>
      <c r="CA532" s="1"/>
      <c r="CM532"/>
      <c r="CN532"/>
      <c r="CO532"/>
      <c r="CP532"/>
      <c r="CQ532"/>
      <c r="CR532"/>
    </row>
    <row r="533" spans="33:96">
      <c r="AG533" s="1"/>
      <c r="AH533" s="1"/>
      <c r="AI533" s="1"/>
      <c r="AJ533" s="1"/>
      <c r="AR533" s="1"/>
      <c r="AS533" s="1"/>
      <c r="AT533" s="1"/>
      <c r="AV533" s="1"/>
      <c r="BC533" s="1"/>
      <c r="BD533" s="1"/>
      <c r="BE533" s="1"/>
      <c r="BF533" s="1"/>
      <c r="BG533" s="1"/>
      <c r="BH533" s="1"/>
      <c r="BI533" s="1"/>
      <c r="BJ533" s="1"/>
      <c r="BK533" s="1"/>
      <c r="BL533" s="1"/>
      <c r="BM533" s="1"/>
      <c r="BN533" s="1"/>
      <c r="BO533" s="1"/>
      <c r="BP533" s="1"/>
      <c r="BQ533" s="1"/>
      <c r="BR533" s="1"/>
      <c r="BS533" s="1"/>
      <c r="BT533" s="1"/>
      <c r="BU533" s="1"/>
      <c r="BV533" s="1"/>
      <c r="BW533" s="1"/>
      <c r="BX533" s="1"/>
      <c r="BY533" s="1"/>
      <c r="BZ533" s="1"/>
      <c r="CA533" s="1"/>
      <c r="CM533"/>
      <c r="CN533"/>
      <c r="CO533"/>
      <c r="CP533"/>
      <c r="CQ533"/>
      <c r="CR533"/>
    </row>
    <row r="534" spans="33:96">
      <c r="AG534" s="1"/>
      <c r="AH534" s="1"/>
      <c r="AI534" s="1"/>
      <c r="AJ534" s="1"/>
      <c r="AR534" s="1"/>
      <c r="AS534" s="1"/>
      <c r="AT534" s="1"/>
      <c r="AV534" s="1"/>
      <c r="BC534" s="1"/>
      <c r="BD534" s="1"/>
      <c r="BE534" s="1"/>
      <c r="BF534" s="1"/>
      <c r="BG534" s="1"/>
      <c r="BH534" s="1"/>
      <c r="BI534" s="1"/>
      <c r="BJ534" s="1"/>
      <c r="BK534" s="1"/>
      <c r="BL534" s="1"/>
      <c r="BM534" s="1"/>
      <c r="BN534" s="1"/>
      <c r="BO534" s="1"/>
      <c r="BP534" s="1"/>
      <c r="BQ534" s="1"/>
      <c r="BR534" s="1"/>
      <c r="BS534" s="1"/>
      <c r="BT534" s="1"/>
      <c r="BU534" s="1"/>
      <c r="BV534" s="1"/>
      <c r="BW534" s="1"/>
      <c r="BX534" s="1"/>
      <c r="BY534" s="1"/>
      <c r="BZ534" s="1"/>
      <c r="CA534" s="1"/>
      <c r="CM534"/>
      <c r="CN534"/>
      <c r="CO534"/>
      <c r="CP534"/>
      <c r="CQ534"/>
      <c r="CR534"/>
    </row>
    <row r="535" spans="33:96">
      <c r="AG535" s="1"/>
      <c r="AH535" s="1"/>
      <c r="AI535" s="1"/>
      <c r="AJ535" s="1"/>
      <c r="AR535" s="1"/>
      <c r="AS535" s="1"/>
      <c r="AT535" s="1"/>
      <c r="AV535" s="1"/>
      <c r="BC535" s="1"/>
      <c r="BD535" s="1"/>
      <c r="BE535" s="1"/>
      <c r="BF535" s="1"/>
      <c r="BG535" s="1"/>
      <c r="BH535" s="1"/>
      <c r="BI535" s="1"/>
      <c r="BJ535" s="1"/>
      <c r="BK535" s="1"/>
      <c r="BL535" s="1"/>
      <c r="BM535" s="1"/>
      <c r="BN535" s="1"/>
      <c r="BO535" s="1"/>
      <c r="BP535" s="1"/>
      <c r="BQ535" s="1"/>
      <c r="BR535" s="1"/>
      <c r="BS535" s="1"/>
      <c r="BT535" s="1"/>
      <c r="BU535" s="1"/>
      <c r="BV535" s="1"/>
      <c r="BW535" s="1"/>
      <c r="BX535" s="1"/>
      <c r="BY535" s="1"/>
      <c r="BZ535" s="1"/>
      <c r="CA535" s="1"/>
      <c r="CM535"/>
      <c r="CN535"/>
      <c r="CO535"/>
      <c r="CP535"/>
      <c r="CQ535"/>
      <c r="CR535"/>
    </row>
    <row r="536" spans="33:96">
      <c r="AG536" s="1"/>
      <c r="AH536" s="1"/>
      <c r="AI536" s="1"/>
      <c r="AJ536" s="1"/>
      <c r="AR536" s="1"/>
      <c r="AS536" s="1"/>
      <c r="AT536" s="1"/>
      <c r="AV536" s="1"/>
      <c r="BC536" s="1"/>
      <c r="BD536" s="1"/>
      <c r="BE536" s="1"/>
      <c r="BF536" s="1"/>
      <c r="BG536" s="1"/>
      <c r="BH536" s="1"/>
      <c r="BI536" s="1"/>
      <c r="BJ536" s="1"/>
      <c r="BK536" s="1"/>
      <c r="BL536" s="1"/>
      <c r="BM536" s="1"/>
      <c r="BN536" s="1"/>
      <c r="BO536" s="1"/>
      <c r="BP536" s="1"/>
      <c r="BQ536" s="1"/>
      <c r="BR536" s="1"/>
      <c r="BS536" s="1"/>
      <c r="BT536" s="1"/>
      <c r="BU536" s="1"/>
      <c r="BV536" s="1"/>
      <c r="BW536" s="1"/>
      <c r="BX536" s="1"/>
      <c r="BY536" s="1"/>
      <c r="BZ536" s="1"/>
      <c r="CA536" s="1"/>
      <c r="CM536"/>
      <c r="CN536"/>
      <c r="CO536"/>
      <c r="CP536"/>
      <c r="CQ536"/>
      <c r="CR536"/>
    </row>
    <row r="537" spans="33:96">
      <c r="AG537" s="1"/>
      <c r="AH537" s="1"/>
      <c r="AI537" s="1"/>
      <c r="AJ537" s="1"/>
      <c r="AR537" s="1"/>
      <c r="AS537" s="1"/>
      <c r="AT537" s="1"/>
      <c r="AV537" s="1"/>
      <c r="BC537" s="1"/>
      <c r="BD537" s="1"/>
      <c r="BE537" s="1"/>
      <c r="BF537" s="1"/>
      <c r="BG537" s="1"/>
      <c r="BH537" s="1"/>
      <c r="BI537" s="1"/>
      <c r="BJ537" s="1"/>
      <c r="BK537" s="1"/>
      <c r="BL537" s="1"/>
      <c r="BM537" s="1"/>
      <c r="BN537" s="1"/>
      <c r="BO537" s="1"/>
      <c r="BP537" s="1"/>
      <c r="BQ537" s="1"/>
      <c r="BR537" s="1"/>
      <c r="BS537" s="1"/>
      <c r="BT537" s="1"/>
      <c r="BU537" s="1"/>
      <c r="BV537" s="1"/>
      <c r="BW537" s="1"/>
      <c r="BX537" s="1"/>
      <c r="BY537" s="1"/>
      <c r="BZ537" s="1"/>
      <c r="CA537" s="1"/>
      <c r="CM537"/>
      <c r="CN537"/>
      <c r="CO537"/>
      <c r="CP537"/>
      <c r="CQ537"/>
      <c r="CR537"/>
    </row>
    <row r="538" spans="33:96">
      <c r="AG538" s="1"/>
      <c r="AH538" s="1"/>
      <c r="AI538" s="1"/>
      <c r="AJ538" s="1"/>
      <c r="AR538" s="1"/>
      <c r="AS538" s="1"/>
      <c r="AT538" s="1"/>
      <c r="AV538" s="1"/>
      <c r="BC538" s="1"/>
      <c r="BD538" s="1"/>
      <c r="BE538" s="1"/>
      <c r="BF538" s="1"/>
      <c r="BG538" s="1"/>
      <c r="BH538" s="1"/>
      <c r="BI538" s="1"/>
      <c r="BJ538" s="1"/>
      <c r="BK538" s="1"/>
      <c r="BL538" s="1"/>
      <c r="BM538" s="1"/>
      <c r="BN538" s="1"/>
      <c r="BO538" s="1"/>
      <c r="BP538" s="1"/>
      <c r="BQ538" s="1"/>
      <c r="BR538" s="1"/>
      <c r="BS538" s="1"/>
      <c r="BT538" s="1"/>
      <c r="BU538" s="1"/>
      <c r="BV538" s="1"/>
      <c r="BW538" s="1"/>
      <c r="BX538" s="1"/>
      <c r="BY538" s="1"/>
      <c r="BZ538" s="1"/>
      <c r="CA538" s="1"/>
      <c r="CM538"/>
      <c r="CN538"/>
      <c r="CO538"/>
      <c r="CP538"/>
      <c r="CQ538"/>
      <c r="CR538"/>
    </row>
    <row r="539" spans="33:96">
      <c r="AG539" s="1"/>
      <c r="AH539" s="1"/>
      <c r="AI539" s="1"/>
      <c r="AJ539" s="1"/>
      <c r="AR539" s="1"/>
      <c r="AS539" s="1"/>
      <c r="AT539" s="1"/>
      <c r="AV539" s="1"/>
      <c r="BC539" s="1"/>
      <c r="BD539" s="1"/>
      <c r="BE539" s="1"/>
      <c r="BF539" s="1"/>
      <c r="BG539" s="1"/>
      <c r="BH539" s="1"/>
      <c r="BI539" s="1"/>
      <c r="BJ539" s="1"/>
      <c r="BK539" s="1"/>
      <c r="BL539" s="1"/>
      <c r="BM539" s="1"/>
      <c r="BN539" s="1"/>
      <c r="BO539" s="1"/>
      <c r="BP539" s="1"/>
      <c r="BQ539" s="1"/>
      <c r="BR539" s="1"/>
      <c r="BS539" s="1"/>
      <c r="BT539" s="1"/>
      <c r="BU539" s="1"/>
      <c r="BV539" s="1"/>
      <c r="BW539" s="1"/>
      <c r="BX539" s="1"/>
      <c r="BY539" s="1"/>
      <c r="BZ539" s="1"/>
      <c r="CA539" s="1"/>
      <c r="CM539"/>
      <c r="CN539"/>
      <c r="CO539"/>
      <c r="CP539"/>
      <c r="CQ539"/>
      <c r="CR539"/>
    </row>
    <row r="540" spans="33:96">
      <c r="AG540" s="1"/>
      <c r="AH540" s="1"/>
      <c r="AI540" s="1"/>
      <c r="AJ540" s="1"/>
      <c r="AR540" s="1"/>
      <c r="AS540" s="1"/>
      <c r="AT540" s="1"/>
      <c r="AV540" s="1"/>
      <c r="BC540" s="1"/>
      <c r="BD540" s="1"/>
      <c r="BE540" s="1"/>
      <c r="BF540" s="1"/>
      <c r="BG540" s="1"/>
      <c r="BH540" s="1"/>
      <c r="BI540" s="1"/>
      <c r="BJ540" s="1"/>
      <c r="BK540" s="1"/>
      <c r="BL540" s="1"/>
      <c r="BM540" s="1"/>
      <c r="BN540" s="1"/>
      <c r="BO540" s="1"/>
      <c r="BP540" s="1"/>
      <c r="BQ540" s="1"/>
      <c r="BR540" s="1"/>
      <c r="BS540" s="1"/>
      <c r="BT540" s="1"/>
      <c r="BU540" s="1"/>
      <c r="BV540" s="1"/>
      <c r="BW540" s="1"/>
      <c r="BX540" s="1"/>
      <c r="BY540" s="1"/>
      <c r="BZ540" s="1"/>
      <c r="CA540" s="1"/>
      <c r="CM540"/>
      <c r="CN540"/>
      <c r="CO540"/>
      <c r="CP540"/>
      <c r="CQ540"/>
      <c r="CR540"/>
    </row>
    <row r="541" spans="33:96">
      <c r="AG541" s="1"/>
      <c r="AH541" s="1"/>
      <c r="AI541" s="1"/>
      <c r="AJ541" s="1"/>
      <c r="AR541" s="1"/>
      <c r="AS541" s="1"/>
      <c r="AT541" s="1"/>
      <c r="AV541" s="1"/>
      <c r="BC541" s="1"/>
      <c r="BD541" s="1"/>
      <c r="BE541" s="1"/>
      <c r="BF541" s="1"/>
      <c r="BG541" s="1"/>
      <c r="BH541" s="1"/>
      <c r="BI541" s="1"/>
      <c r="BJ541" s="1"/>
      <c r="BK541" s="1"/>
      <c r="BL541" s="1"/>
      <c r="BM541" s="1"/>
      <c r="BN541" s="1"/>
      <c r="BO541" s="1"/>
      <c r="BP541" s="1"/>
      <c r="BQ541" s="1"/>
      <c r="BR541" s="1"/>
      <c r="BS541" s="1"/>
      <c r="BT541" s="1"/>
      <c r="BU541" s="1"/>
      <c r="BV541" s="1"/>
      <c r="BW541" s="1"/>
      <c r="BX541" s="1"/>
      <c r="BY541" s="1"/>
      <c r="BZ541" s="1"/>
      <c r="CA541" s="1"/>
      <c r="CM541"/>
      <c r="CN541"/>
      <c r="CO541"/>
      <c r="CP541"/>
      <c r="CQ541"/>
      <c r="CR541"/>
    </row>
    <row r="542" spans="33:96">
      <c r="AG542" s="1"/>
      <c r="AH542" s="1"/>
      <c r="AI542" s="1"/>
      <c r="AJ542" s="1"/>
      <c r="AR542" s="1"/>
      <c r="AS542" s="1"/>
      <c r="AT542" s="1"/>
      <c r="AV542" s="1"/>
      <c r="BC542" s="1"/>
      <c r="BD542" s="1"/>
      <c r="BE542" s="1"/>
      <c r="BF542" s="1"/>
      <c r="BG542" s="1"/>
      <c r="BH542" s="1"/>
      <c r="BI542" s="1"/>
      <c r="BJ542" s="1"/>
      <c r="BK542" s="1"/>
      <c r="BL542" s="1"/>
      <c r="BM542" s="1"/>
      <c r="BN542" s="1"/>
      <c r="BO542" s="1"/>
      <c r="BP542" s="1"/>
      <c r="BQ542" s="1"/>
      <c r="BR542" s="1"/>
      <c r="BS542" s="1"/>
      <c r="BT542" s="1"/>
      <c r="BU542" s="1"/>
      <c r="BV542" s="1"/>
      <c r="BW542" s="1"/>
      <c r="BX542" s="1"/>
      <c r="BY542" s="1"/>
      <c r="BZ542" s="1"/>
      <c r="CA542" s="1"/>
      <c r="CM542"/>
      <c r="CN542"/>
      <c r="CO542"/>
      <c r="CP542"/>
      <c r="CQ542"/>
      <c r="CR542"/>
    </row>
    <row r="543" spans="33:96">
      <c r="AG543" s="1"/>
      <c r="AH543" s="1"/>
      <c r="AI543" s="1"/>
      <c r="AJ543" s="1"/>
      <c r="AR543" s="1"/>
      <c r="AS543" s="1"/>
      <c r="AT543" s="1"/>
      <c r="AV543" s="1"/>
      <c r="BC543" s="1"/>
      <c r="BD543" s="1"/>
      <c r="BE543" s="1"/>
      <c r="BF543" s="1"/>
      <c r="BG543" s="1"/>
      <c r="BH543" s="1"/>
      <c r="BI543" s="1"/>
      <c r="BJ543" s="1"/>
      <c r="BK543" s="1"/>
      <c r="BL543" s="1"/>
      <c r="BM543" s="1"/>
      <c r="BN543" s="1"/>
      <c r="BO543" s="1"/>
      <c r="BP543" s="1"/>
      <c r="BQ543" s="1"/>
      <c r="BR543" s="1"/>
      <c r="BS543" s="1"/>
      <c r="BT543" s="1"/>
      <c r="BU543" s="1"/>
      <c r="BV543" s="1"/>
      <c r="BW543" s="1"/>
      <c r="BX543" s="1"/>
      <c r="BY543" s="1"/>
      <c r="BZ543" s="1"/>
      <c r="CA543" s="1"/>
      <c r="CM543"/>
      <c r="CN543"/>
      <c r="CO543"/>
      <c r="CP543"/>
      <c r="CQ543"/>
      <c r="CR543"/>
    </row>
    <row r="544" spans="33:96">
      <c r="AG544" s="1"/>
      <c r="AH544" s="1"/>
      <c r="AI544" s="1"/>
      <c r="AJ544" s="1"/>
      <c r="AR544" s="1"/>
      <c r="AS544" s="1"/>
      <c r="AT544" s="1"/>
      <c r="AV544" s="1"/>
      <c r="BC544" s="1"/>
      <c r="BD544" s="1"/>
      <c r="BE544" s="1"/>
      <c r="BF544" s="1"/>
      <c r="BG544" s="1"/>
      <c r="BH544" s="1"/>
      <c r="BI544" s="1"/>
      <c r="BJ544" s="1"/>
      <c r="BK544" s="1"/>
      <c r="BL544" s="1"/>
      <c r="BM544" s="1"/>
      <c r="BN544" s="1"/>
      <c r="BO544" s="1"/>
      <c r="BP544" s="1"/>
      <c r="BQ544" s="1"/>
      <c r="BR544" s="1"/>
      <c r="BS544" s="1"/>
      <c r="BT544" s="1"/>
      <c r="BU544" s="1"/>
      <c r="BV544" s="1"/>
      <c r="BW544" s="1"/>
      <c r="BX544" s="1"/>
      <c r="BY544" s="1"/>
      <c r="BZ544" s="1"/>
      <c r="CA544" s="1"/>
      <c r="CM544"/>
      <c r="CN544"/>
      <c r="CO544"/>
      <c r="CP544"/>
      <c r="CQ544"/>
      <c r="CR544"/>
    </row>
    <row r="545" spans="33:96">
      <c r="AG545" s="1"/>
      <c r="AH545" s="1"/>
      <c r="AI545" s="1"/>
      <c r="AJ545" s="1"/>
      <c r="AR545" s="1"/>
      <c r="AS545" s="1"/>
      <c r="AT545" s="1"/>
      <c r="AV545" s="1"/>
      <c r="BC545" s="1"/>
      <c r="BD545" s="1"/>
      <c r="BE545" s="1"/>
      <c r="BF545" s="1"/>
      <c r="BG545" s="1"/>
      <c r="BH545" s="1"/>
      <c r="BI545" s="1"/>
      <c r="BJ545" s="1"/>
      <c r="BK545" s="1"/>
      <c r="BL545" s="1"/>
      <c r="BM545" s="1"/>
      <c r="BN545" s="1"/>
      <c r="BO545" s="1"/>
      <c r="BP545" s="1"/>
      <c r="BQ545" s="1"/>
      <c r="BR545" s="1"/>
      <c r="BS545" s="1"/>
      <c r="BT545" s="1"/>
      <c r="BU545" s="1"/>
      <c r="BV545" s="1"/>
      <c r="BW545" s="1"/>
      <c r="BX545" s="1"/>
      <c r="BY545" s="1"/>
      <c r="BZ545" s="1"/>
      <c r="CA545" s="1"/>
      <c r="CM545"/>
      <c r="CN545"/>
      <c r="CO545"/>
      <c r="CP545"/>
      <c r="CQ545"/>
      <c r="CR545"/>
    </row>
    <row r="546" spans="33:96">
      <c r="AG546" s="1"/>
      <c r="AH546" s="1"/>
      <c r="AI546" s="1"/>
      <c r="AJ546" s="1"/>
      <c r="AR546" s="1"/>
      <c r="AS546" s="1"/>
      <c r="AT546" s="1"/>
      <c r="AV546" s="1"/>
      <c r="BC546" s="1"/>
      <c r="BD546" s="1"/>
      <c r="BE546" s="1"/>
      <c r="BF546" s="1"/>
      <c r="BG546" s="1"/>
      <c r="BH546" s="1"/>
      <c r="BI546" s="1"/>
      <c r="BJ546" s="1"/>
      <c r="BK546" s="1"/>
      <c r="BL546" s="1"/>
      <c r="BM546" s="1"/>
      <c r="BN546" s="1"/>
      <c r="BO546" s="1"/>
      <c r="BP546" s="1"/>
      <c r="BQ546" s="1"/>
      <c r="BR546" s="1"/>
      <c r="BS546" s="1"/>
      <c r="BT546" s="1"/>
      <c r="BU546" s="1"/>
      <c r="BV546" s="1"/>
      <c r="BW546" s="1"/>
      <c r="BX546" s="1"/>
      <c r="BY546" s="1"/>
      <c r="BZ546" s="1"/>
      <c r="CA546" s="1"/>
      <c r="CM546"/>
      <c r="CN546"/>
      <c r="CO546"/>
      <c r="CP546"/>
      <c r="CQ546"/>
      <c r="CR546"/>
    </row>
    <row r="547" spans="33:96">
      <c r="AG547" s="1"/>
      <c r="AH547" s="1"/>
      <c r="AI547" s="1"/>
      <c r="AJ547" s="1"/>
      <c r="AR547" s="1"/>
      <c r="AS547" s="1"/>
      <c r="AT547" s="1"/>
      <c r="AV547" s="1"/>
      <c r="BC547" s="1"/>
      <c r="BD547" s="1"/>
      <c r="BE547" s="1"/>
      <c r="BF547" s="1"/>
      <c r="BG547" s="1"/>
      <c r="BH547" s="1"/>
      <c r="BI547" s="1"/>
      <c r="BJ547" s="1"/>
      <c r="BK547" s="1"/>
      <c r="BL547" s="1"/>
      <c r="BM547" s="1"/>
      <c r="BN547" s="1"/>
      <c r="BO547" s="1"/>
      <c r="BP547" s="1"/>
      <c r="BQ547" s="1"/>
      <c r="BR547" s="1"/>
      <c r="BS547" s="1"/>
      <c r="BT547" s="1"/>
      <c r="BU547" s="1"/>
      <c r="BV547" s="1"/>
      <c r="BW547" s="1"/>
      <c r="BX547" s="1"/>
      <c r="BY547" s="1"/>
      <c r="BZ547" s="1"/>
      <c r="CA547" s="1"/>
      <c r="CM547"/>
      <c r="CN547"/>
      <c r="CO547"/>
      <c r="CP547"/>
      <c r="CQ547"/>
      <c r="CR547"/>
    </row>
    <row r="548" spans="33:96">
      <c r="AG548" s="1"/>
      <c r="AH548" s="1"/>
      <c r="AI548" s="1"/>
      <c r="AJ548" s="1"/>
      <c r="AR548" s="1"/>
      <c r="AS548" s="1"/>
      <c r="AT548" s="1"/>
      <c r="AV548" s="1"/>
      <c r="BC548" s="1"/>
      <c r="BD548" s="1"/>
      <c r="BE548" s="1"/>
      <c r="BF548" s="1"/>
      <c r="BG548" s="1"/>
      <c r="BH548" s="1"/>
      <c r="BI548" s="1"/>
      <c r="BJ548" s="1"/>
      <c r="BK548" s="1"/>
      <c r="BL548" s="1"/>
      <c r="BM548" s="1"/>
      <c r="BN548" s="1"/>
      <c r="BO548" s="1"/>
      <c r="BP548" s="1"/>
      <c r="BQ548" s="1"/>
      <c r="BR548" s="1"/>
      <c r="BS548" s="1"/>
      <c r="BT548" s="1"/>
      <c r="BU548" s="1"/>
      <c r="BV548" s="1"/>
      <c r="BW548" s="1"/>
      <c r="BX548" s="1"/>
      <c r="BY548" s="1"/>
      <c r="BZ548" s="1"/>
      <c r="CA548" s="1"/>
      <c r="CM548"/>
      <c r="CN548"/>
      <c r="CO548"/>
      <c r="CP548"/>
      <c r="CQ548"/>
      <c r="CR548"/>
    </row>
    <row r="549" spans="33:96">
      <c r="AG549" s="1"/>
      <c r="AH549" s="1"/>
      <c r="AI549" s="1"/>
      <c r="AJ549" s="1"/>
      <c r="AR549" s="1"/>
      <c r="AS549" s="1"/>
      <c r="AT549" s="1"/>
      <c r="AV549" s="1"/>
      <c r="BC549" s="1"/>
      <c r="BD549" s="1"/>
      <c r="BE549" s="1"/>
      <c r="BF549" s="1"/>
      <c r="BG549" s="1"/>
      <c r="BH549" s="1"/>
      <c r="BI549" s="1"/>
      <c r="BJ549" s="1"/>
      <c r="BK549" s="1"/>
      <c r="BL549" s="1"/>
      <c r="BM549" s="1"/>
      <c r="BN549" s="1"/>
      <c r="BO549" s="1"/>
      <c r="BP549" s="1"/>
      <c r="BQ549" s="1"/>
      <c r="BR549" s="1"/>
      <c r="BS549" s="1"/>
      <c r="BT549" s="1"/>
      <c r="BU549" s="1"/>
      <c r="BV549" s="1"/>
      <c r="BW549" s="1"/>
      <c r="BX549" s="1"/>
      <c r="BY549" s="1"/>
      <c r="BZ549" s="1"/>
      <c r="CA549" s="1"/>
      <c r="CM549"/>
      <c r="CN549"/>
      <c r="CO549"/>
      <c r="CP549"/>
      <c r="CQ549"/>
      <c r="CR549"/>
    </row>
    <row r="550" spans="33:96">
      <c r="AG550" s="1"/>
      <c r="AH550" s="1"/>
      <c r="AI550" s="1"/>
      <c r="AJ550" s="1"/>
      <c r="AR550" s="1"/>
      <c r="AS550" s="1"/>
      <c r="AT550" s="1"/>
      <c r="AV550" s="1"/>
      <c r="BC550" s="1"/>
      <c r="BD550" s="1"/>
      <c r="BE550" s="1"/>
      <c r="BF550" s="1"/>
      <c r="BG550" s="1"/>
      <c r="BH550" s="1"/>
      <c r="BI550" s="1"/>
      <c r="BJ550" s="1"/>
      <c r="BK550" s="1"/>
      <c r="BL550" s="1"/>
      <c r="BM550" s="1"/>
      <c r="BN550" s="1"/>
      <c r="BO550" s="1"/>
      <c r="BP550" s="1"/>
      <c r="BQ550" s="1"/>
      <c r="BR550" s="1"/>
      <c r="BS550" s="1"/>
      <c r="BT550" s="1"/>
      <c r="BU550" s="1"/>
      <c r="BV550" s="1"/>
      <c r="BW550" s="1"/>
      <c r="BX550" s="1"/>
      <c r="BY550" s="1"/>
      <c r="BZ550" s="1"/>
      <c r="CA550" s="1"/>
      <c r="CM550"/>
      <c r="CN550"/>
      <c r="CO550"/>
      <c r="CP550"/>
      <c r="CQ550"/>
      <c r="CR550"/>
    </row>
    <row r="551" spans="33:96">
      <c r="AG551" s="1"/>
      <c r="AH551" s="1"/>
      <c r="AI551" s="1"/>
      <c r="AJ551" s="1"/>
      <c r="AR551" s="1"/>
      <c r="AS551" s="1"/>
      <c r="AT551" s="1"/>
      <c r="AV551" s="1"/>
      <c r="BC551" s="1"/>
      <c r="BD551" s="1"/>
      <c r="BE551" s="1"/>
      <c r="BF551" s="1"/>
      <c r="BG551" s="1"/>
      <c r="BH551" s="1"/>
      <c r="BI551" s="1"/>
      <c r="BJ551" s="1"/>
      <c r="BK551" s="1"/>
      <c r="BL551" s="1"/>
      <c r="BM551" s="1"/>
      <c r="BN551" s="1"/>
      <c r="BO551" s="1"/>
      <c r="BP551" s="1"/>
      <c r="BQ551" s="1"/>
      <c r="BR551" s="1"/>
      <c r="BS551" s="1"/>
      <c r="BT551" s="1"/>
      <c r="BU551" s="1"/>
      <c r="BV551" s="1"/>
      <c r="BW551" s="1"/>
      <c r="BX551" s="1"/>
      <c r="BY551" s="1"/>
      <c r="BZ551" s="1"/>
      <c r="CA551" s="1"/>
      <c r="CM551"/>
      <c r="CN551"/>
      <c r="CO551"/>
      <c r="CP551"/>
      <c r="CQ551"/>
      <c r="CR551"/>
    </row>
    <row r="552" spans="33:96">
      <c r="AG552" s="1"/>
      <c r="AH552" s="1"/>
      <c r="AI552" s="1"/>
      <c r="AJ552" s="1"/>
      <c r="AR552" s="1"/>
      <c r="AS552" s="1"/>
      <c r="AT552" s="1"/>
      <c r="AV552" s="1"/>
      <c r="BC552" s="1"/>
      <c r="BD552" s="1"/>
      <c r="BE552" s="1"/>
      <c r="BF552" s="1"/>
      <c r="BG552" s="1"/>
      <c r="BH552" s="1"/>
      <c r="BI552" s="1"/>
      <c r="BJ552" s="1"/>
      <c r="BK552" s="1"/>
      <c r="BL552" s="1"/>
      <c r="BM552" s="1"/>
      <c r="BN552" s="1"/>
      <c r="BO552" s="1"/>
      <c r="BP552" s="1"/>
      <c r="BQ552" s="1"/>
      <c r="BR552" s="1"/>
      <c r="BS552" s="1"/>
      <c r="BT552" s="1"/>
      <c r="BU552" s="1"/>
      <c r="BV552" s="1"/>
      <c r="BW552" s="1"/>
      <c r="BX552" s="1"/>
      <c r="BY552" s="1"/>
      <c r="BZ552" s="1"/>
      <c r="CA552" s="1"/>
      <c r="CM552"/>
      <c r="CN552"/>
      <c r="CO552"/>
      <c r="CP552"/>
      <c r="CQ552"/>
      <c r="CR552"/>
    </row>
    <row r="553" spans="33:96">
      <c r="AG553" s="1"/>
      <c r="AH553" s="1"/>
      <c r="AI553" s="1"/>
      <c r="AJ553" s="1"/>
      <c r="AR553" s="1"/>
      <c r="AS553" s="1"/>
      <c r="AT553" s="1"/>
      <c r="AV553" s="1"/>
      <c r="BC553" s="1"/>
      <c r="BD553" s="1"/>
      <c r="BE553" s="1"/>
      <c r="BF553" s="1"/>
      <c r="BG553" s="1"/>
      <c r="BH553" s="1"/>
      <c r="BI553" s="1"/>
      <c r="BJ553" s="1"/>
      <c r="BK553" s="1"/>
      <c r="BL553" s="1"/>
      <c r="BM553" s="1"/>
      <c r="BN553" s="1"/>
      <c r="BO553" s="1"/>
      <c r="BP553" s="1"/>
      <c r="BQ553" s="1"/>
      <c r="BR553" s="1"/>
      <c r="BS553" s="1"/>
      <c r="BT553" s="1"/>
      <c r="BU553" s="1"/>
      <c r="BV553" s="1"/>
      <c r="BW553" s="1"/>
      <c r="BX553" s="1"/>
      <c r="BY553" s="1"/>
      <c r="BZ553" s="1"/>
      <c r="CA553" s="1"/>
      <c r="CM553"/>
      <c r="CN553"/>
      <c r="CO553"/>
      <c r="CP553"/>
      <c r="CQ553"/>
      <c r="CR553"/>
    </row>
    <row r="554" spans="33:96">
      <c r="AG554" s="1"/>
      <c r="AH554" s="1"/>
      <c r="AI554" s="1"/>
      <c r="AJ554" s="1"/>
      <c r="AR554" s="1"/>
      <c r="AS554" s="1"/>
      <c r="AT554" s="1"/>
      <c r="AV554" s="1"/>
      <c r="BC554" s="1"/>
      <c r="BD554" s="1"/>
      <c r="BE554" s="1"/>
      <c r="BF554" s="1"/>
      <c r="BG554" s="1"/>
      <c r="BH554" s="1"/>
      <c r="BI554" s="1"/>
      <c r="BJ554" s="1"/>
      <c r="BK554" s="1"/>
      <c r="BL554" s="1"/>
      <c r="BM554" s="1"/>
      <c r="BN554" s="1"/>
      <c r="BO554" s="1"/>
      <c r="BP554" s="1"/>
      <c r="BQ554" s="1"/>
      <c r="BR554" s="1"/>
      <c r="BS554" s="1"/>
      <c r="BT554" s="1"/>
      <c r="BU554" s="1"/>
      <c r="BV554" s="1"/>
      <c r="BW554" s="1"/>
      <c r="BX554" s="1"/>
      <c r="BY554" s="1"/>
      <c r="BZ554" s="1"/>
      <c r="CA554" s="1"/>
      <c r="CM554"/>
      <c r="CN554"/>
      <c r="CO554"/>
      <c r="CP554"/>
      <c r="CQ554"/>
      <c r="CR554"/>
    </row>
    <row r="555" spans="33:96">
      <c r="AG555" s="1"/>
      <c r="AH555" s="1"/>
      <c r="AI555" s="1"/>
      <c r="AJ555" s="1"/>
      <c r="AR555" s="1"/>
      <c r="AS555" s="1"/>
      <c r="AT555" s="1"/>
      <c r="AV555" s="1"/>
      <c r="BC555" s="1"/>
      <c r="BD555" s="1"/>
      <c r="BE555" s="1"/>
      <c r="BF555" s="1"/>
      <c r="BG555" s="1"/>
      <c r="BH555" s="1"/>
      <c r="BI555" s="1"/>
      <c r="BJ555" s="1"/>
      <c r="BK555" s="1"/>
      <c r="BL555" s="1"/>
      <c r="BM555" s="1"/>
      <c r="BN555" s="1"/>
      <c r="BO555" s="1"/>
      <c r="BP555" s="1"/>
      <c r="BQ555" s="1"/>
      <c r="BR555" s="1"/>
      <c r="BS555" s="1"/>
      <c r="BT555" s="1"/>
      <c r="BU555" s="1"/>
      <c r="BV555" s="1"/>
      <c r="BW555" s="1"/>
      <c r="BX555" s="1"/>
      <c r="BY555" s="1"/>
      <c r="BZ555" s="1"/>
      <c r="CA555" s="1"/>
      <c r="CM555"/>
      <c r="CN555"/>
      <c r="CO555"/>
      <c r="CP555"/>
      <c r="CQ555"/>
      <c r="CR555"/>
    </row>
    <row r="556" spans="33:96">
      <c r="AG556" s="1"/>
      <c r="AH556" s="1"/>
      <c r="AI556" s="1"/>
      <c r="AJ556" s="1"/>
      <c r="AR556" s="1"/>
      <c r="AS556" s="1"/>
      <c r="AT556" s="1"/>
      <c r="AV556" s="1"/>
      <c r="BC556" s="1"/>
      <c r="BD556" s="1"/>
      <c r="BE556" s="1"/>
      <c r="BF556" s="1"/>
      <c r="BG556" s="1"/>
      <c r="BH556" s="1"/>
      <c r="BI556" s="1"/>
      <c r="BJ556" s="1"/>
      <c r="BK556" s="1"/>
      <c r="BL556" s="1"/>
      <c r="BM556" s="1"/>
      <c r="BN556" s="1"/>
      <c r="BO556" s="1"/>
      <c r="BP556" s="1"/>
      <c r="BQ556" s="1"/>
      <c r="BR556" s="1"/>
      <c r="BS556" s="1"/>
      <c r="BT556" s="1"/>
      <c r="BU556" s="1"/>
      <c r="BV556" s="1"/>
      <c r="BW556" s="1"/>
      <c r="BX556" s="1"/>
      <c r="BY556" s="1"/>
      <c r="BZ556" s="1"/>
      <c r="CA556" s="1"/>
      <c r="CM556"/>
      <c r="CN556"/>
      <c r="CO556"/>
      <c r="CP556"/>
      <c r="CQ556"/>
      <c r="CR556"/>
    </row>
    <row r="557" spans="33:96">
      <c r="AG557" s="1"/>
      <c r="AH557" s="1"/>
      <c r="AI557" s="1"/>
      <c r="AJ557" s="1"/>
      <c r="AR557" s="1"/>
      <c r="AS557" s="1"/>
      <c r="AT557" s="1"/>
      <c r="AV557" s="1"/>
      <c r="BC557" s="1"/>
      <c r="BD557" s="1"/>
      <c r="BE557" s="1"/>
      <c r="BF557" s="1"/>
      <c r="BG557" s="1"/>
      <c r="BH557" s="1"/>
      <c r="BI557" s="1"/>
      <c r="BJ557" s="1"/>
      <c r="BK557" s="1"/>
      <c r="BL557" s="1"/>
      <c r="BM557" s="1"/>
      <c r="BN557" s="1"/>
      <c r="BO557" s="1"/>
      <c r="BP557" s="1"/>
      <c r="BQ557" s="1"/>
      <c r="BR557" s="1"/>
      <c r="BS557" s="1"/>
      <c r="BT557" s="1"/>
      <c r="BU557" s="1"/>
      <c r="BV557" s="1"/>
      <c r="BW557" s="1"/>
      <c r="BX557" s="1"/>
      <c r="BY557" s="1"/>
      <c r="BZ557" s="1"/>
      <c r="CA557" s="1"/>
      <c r="CM557"/>
      <c r="CN557"/>
      <c r="CO557"/>
      <c r="CP557"/>
      <c r="CQ557"/>
      <c r="CR557"/>
    </row>
    <row r="558" spans="33:96">
      <c r="AG558" s="1"/>
      <c r="AH558" s="1"/>
      <c r="AI558" s="1"/>
      <c r="AJ558" s="1"/>
      <c r="AR558" s="1"/>
      <c r="AS558" s="1"/>
      <c r="AT558" s="1"/>
      <c r="AV558" s="1"/>
      <c r="BC558" s="1"/>
      <c r="BD558" s="1"/>
      <c r="BE558" s="1"/>
      <c r="BF558" s="1"/>
      <c r="BG558" s="1"/>
      <c r="BH558" s="1"/>
      <c r="BI558" s="1"/>
      <c r="BJ558" s="1"/>
      <c r="BK558" s="1"/>
      <c r="BL558" s="1"/>
      <c r="BM558" s="1"/>
      <c r="BN558" s="1"/>
      <c r="BO558" s="1"/>
      <c r="BP558" s="1"/>
      <c r="BQ558" s="1"/>
      <c r="BR558" s="1"/>
      <c r="BS558" s="1"/>
      <c r="BT558" s="1"/>
      <c r="BU558" s="1"/>
      <c r="BV558" s="1"/>
      <c r="BW558" s="1"/>
      <c r="BX558" s="1"/>
      <c r="BY558" s="1"/>
      <c r="BZ558" s="1"/>
      <c r="CA558" s="1"/>
      <c r="CM558"/>
      <c r="CN558"/>
      <c r="CO558"/>
      <c r="CP558"/>
      <c r="CQ558"/>
      <c r="CR558"/>
    </row>
    <row r="559" spans="33:96">
      <c r="AG559" s="1"/>
      <c r="AH559" s="1"/>
      <c r="AI559" s="1"/>
      <c r="AJ559" s="1"/>
      <c r="AR559" s="1"/>
      <c r="AS559" s="1"/>
      <c r="AT559" s="1"/>
      <c r="AV559" s="1"/>
      <c r="BC559" s="1"/>
      <c r="BD559" s="1"/>
      <c r="BE559" s="1"/>
      <c r="BF559" s="1"/>
      <c r="BG559" s="1"/>
      <c r="BH559" s="1"/>
      <c r="BI559" s="1"/>
      <c r="BJ559" s="1"/>
      <c r="BK559" s="1"/>
      <c r="BL559" s="1"/>
      <c r="BM559" s="1"/>
      <c r="BN559" s="1"/>
      <c r="BO559" s="1"/>
      <c r="BP559" s="1"/>
      <c r="BQ559" s="1"/>
      <c r="BR559" s="1"/>
      <c r="BS559" s="1"/>
      <c r="BT559" s="1"/>
      <c r="BU559" s="1"/>
      <c r="BV559" s="1"/>
      <c r="BW559" s="1"/>
      <c r="BX559" s="1"/>
      <c r="BY559" s="1"/>
      <c r="BZ559" s="1"/>
      <c r="CA559" s="1"/>
      <c r="CM559"/>
      <c r="CN559"/>
      <c r="CO559"/>
      <c r="CP559"/>
      <c r="CQ559"/>
      <c r="CR559"/>
    </row>
    <row r="560" spans="33:96">
      <c r="AG560" s="1"/>
      <c r="AH560" s="1"/>
      <c r="AI560" s="1"/>
      <c r="AJ560" s="1"/>
      <c r="AR560" s="1"/>
      <c r="AS560" s="1"/>
      <c r="AT560" s="1"/>
      <c r="AV560" s="1"/>
      <c r="BC560" s="1"/>
      <c r="BD560" s="1"/>
      <c r="BE560" s="1"/>
      <c r="BF560" s="1"/>
      <c r="BG560" s="1"/>
      <c r="BH560" s="1"/>
      <c r="BI560" s="1"/>
      <c r="BJ560" s="1"/>
      <c r="BK560" s="1"/>
      <c r="BL560" s="1"/>
      <c r="BM560" s="1"/>
      <c r="BN560" s="1"/>
      <c r="BO560" s="1"/>
      <c r="BP560" s="1"/>
      <c r="BQ560" s="1"/>
      <c r="BR560" s="1"/>
      <c r="BS560" s="1"/>
      <c r="BT560" s="1"/>
      <c r="BU560" s="1"/>
      <c r="BV560" s="1"/>
      <c r="BW560" s="1"/>
      <c r="BX560" s="1"/>
      <c r="BY560" s="1"/>
      <c r="BZ560" s="1"/>
      <c r="CA560" s="1"/>
      <c r="CM560"/>
      <c r="CN560"/>
      <c r="CO560"/>
      <c r="CP560"/>
      <c r="CQ560"/>
      <c r="CR560"/>
    </row>
    <row r="561" spans="33:96">
      <c r="AG561" s="1"/>
      <c r="AH561" s="1"/>
      <c r="AI561" s="1"/>
      <c r="AJ561" s="1"/>
      <c r="AR561" s="1"/>
      <c r="AS561" s="1"/>
      <c r="AT561" s="1"/>
      <c r="AV561" s="1"/>
      <c r="BC561" s="1"/>
      <c r="BD561" s="1"/>
      <c r="BE561" s="1"/>
      <c r="BF561" s="1"/>
      <c r="BG561" s="1"/>
      <c r="BH561" s="1"/>
      <c r="BI561" s="1"/>
      <c r="BJ561" s="1"/>
      <c r="BK561" s="1"/>
      <c r="BL561" s="1"/>
      <c r="BM561" s="1"/>
      <c r="BN561" s="1"/>
      <c r="BO561" s="1"/>
      <c r="BP561" s="1"/>
      <c r="BQ561" s="1"/>
      <c r="BR561" s="1"/>
      <c r="BS561" s="1"/>
      <c r="BT561" s="1"/>
      <c r="BU561" s="1"/>
      <c r="BV561" s="1"/>
      <c r="BW561" s="1"/>
      <c r="BX561" s="1"/>
      <c r="BY561" s="1"/>
      <c r="BZ561" s="1"/>
      <c r="CA561" s="1"/>
      <c r="CM561"/>
      <c r="CN561"/>
      <c r="CO561"/>
      <c r="CP561"/>
      <c r="CQ561"/>
      <c r="CR561"/>
    </row>
    <row r="562" spans="33:96">
      <c r="AG562" s="1"/>
      <c r="AH562" s="1"/>
      <c r="AI562" s="1"/>
      <c r="AJ562" s="1"/>
      <c r="AR562" s="1"/>
      <c r="AS562" s="1"/>
      <c r="AT562" s="1"/>
      <c r="AV562" s="1"/>
      <c r="BC562" s="1"/>
      <c r="BD562" s="1"/>
      <c r="BE562" s="1"/>
      <c r="BF562" s="1"/>
      <c r="BG562" s="1"/>
      <c r="BH562" s="1"/>
      <c r="BI562" s="1"/>
      <c r="BJ562" s="1"/>
      <c r="BK562" s="1"/>
      <c r="BL562" s="1"/>
      <c r="BM562" s="1"/>
      <c r="BN562" s="1"/>
      <c r="BO562" s="1"/>
      <c r="BP562" s="1"/>
      <c r="BQ562" s="1"/>
      <c r="BR562" s="1"/>
      <c r="BS562" s="1"/>
      <c r="BT562" s="1"/>
      <c r="BU562" s="1"/>
      <c r="BV562" s="1"/>
      <c r="BW562" s="1"/>
      <c r="BX562" s="1"/>
      <c r="BY562" s="1"/>
      <c r="BZ562" s="1"/>
      <c r="CA562" s="1"/>
      <c r="CM562"/>
      <c r="CN562"/>
      <c r="CO562"/>
      <c r="CP562"/>
      <c r="CQ562"/>
      <c r="CR562"/>
    </row>
    <row r="563" spans="33:96">
      <c r="AG563" s="1"/>
      <c r="AH563" s="1"/>
      <c r="AI563" s="1"/>
      <c r="AJ563" s="1"/>
      <c r="AR563" s="1"/>
      <c r="AS563" s="1"/>
      <c r="AT563" s="1"/>
      <c r="AV563" s="1"/>
      <c r="BC563" s="1"/>
      <c r="BD563" s="1"/>
      <c r="BE563" s="1"/>
      <c r="BF563" s="1"/>
      <c r="BG563" s="1"/>
      <c r="BH563" s="1"/>
      <c r="BI563" s="1"/>
      <c r="BJ563" s="1"/>
      <c r="BK563" s="1"/>
      <c r="BL563" s="1"/>
      <c r="BM563" s="1"/>
      <c r="BN563" s="1"/>
      <c r="BO563" s="1"/>
      <c r="BP563" s="1"/>
      <c r="BQ563" s="1"/>
      <c r="BR563" s="1"/>
      <c r="BS563" s="1"/>
      <c r="BT563" s="1"/>
      <c r="BU563" s="1"/>
      <c r="BV563" s="1"/>
      <c r="BW563" s="1"/>
      <c r="BX563" s="1"/>
      <c r="BY563" s="1"/>
      <c r="BZ563" s="1"/>
      <c r="CA563" s="1"/>
      <c r="CM563"/>
      <c r="CN563"/>
      <c r="CO563"/>
      <c r="CP563"/>
      <c r="CQ563"/>
      <c r="CR563"/>
    </row>
    <row r="564" spans="33:96">
      <c r="AG564" s="1"/>
      <c r="AH564" s="1"/>
      <c r="AI564" s="1"/>
      <c r="AJ564" s="1"/>
      <c r="AR564" s="1"/>
      <c r="AS564" s="1"/>
      <c r="AT564" s="1"/>
      <c r="AV564" s="1"/>
      <c r="BC564" s="1"/>
      <c r="BD564" s="1"/>
      <c r="BE564" s="1"/>
      <c r="BF564" s="1"/>
      <c r="BG564" s="1"/>
      <c r="BH564" s="1"/>
      <c r="BI564" s="1"/>
      <c r="BJ564" s="1"/>
      <c r="BK564" s="1"/>
      <c r="BL564" s="1"/>
      <c r="BM564" s="1"/>
      <c r="BN564" s="1"/>
      <c r="BO564" s="1"/>
      <c r="BP564" s="1"/>
      <c r="BQ564" s="1"/>
      <c r="BR564" s="1"/>
      <c r="BS564" s="1"/>
      <c r="BT564" s="1"/>
      <c r="BU564" s="1"/>
      <c r="BV564" s="1"/>
      <c r="BW564" s="1"/>
      <c r="BX564" s="1"/>
      <c r="BY564" s="1"/>
      <c r="BZ564" s="1"/>
      <c r="CA564" s="1"/>
      <c r="CM564"/>
      <c r="CN564"/>
      <c r="CO564"/>
      <c r="CP564"/>
      <c r="CQ564"/>
      <c r="CR564"/>
    </row>
    <row r="565" spans="33:96">
      <c r="AG565" s="1"/>
      <c r="AH565" s="1"/>
      <c r="AI565" s="1"/>
      <c r="AJ565" s="1"/>
      <c r="AR565" s="1"/>
      <c r="AS565" s="1"/>
      <c r="AT565" s="1"/>
      <c r="AV565" s="1"/>
      <c r="BC565" s="1"/>
      <c r="BD565" s="1"/>
      <c r="BE565" s="1"/>
      <c r="BF565" s="1"/>
      <c r="BG565" s="1"/>
      <c r="BH565" s="1"/>
      <c r="BI565" s="1"/>
      <c r="BJ565" s="1"/>
      <c r="BK565" s="1"/>
      <c r="BL565" s="1"/>
      <c r="BM565" s="1"/>
      <c r="BN565" s="1"/>
      <c r="BO565" s="1"/>
      <c r="BP565" s="1"/>
      <c r="BQ565" s="1"/>
      <c r="BR565" s="1"/>
      <c r="BS565" s="1"/>
      <c r="BT565" s="1"/>
      <c r="BU565" s="1"/>
      <c r="BV565" s="1"/>
      <c r="BW565" s="1"/>
      <c r="BX565" s="1"/>
      <c r="BY565" s="1"/>
      <c r="BZ565" s="1"/>
      <c r="CA565" s="1"/>
      <c r="CM565"/>
      <c r="CN565"/>
      <c r="CO565"/>
      <c r="CP565"/>
      <c r="CQ565"/>
      <c r="CR565"/>
    </row>
    <row r="566" spans="33:96">
      <c r="AG566" s="1"/>
      <c r="AH566" s="1"/>
      <c r="AI566" s="1"/>
      <c r="AJ566" s="1"/>
      <c r="AR566" s="1"/>
      <c r="AS566" s="1"/>
      <c r="AT566" s="1"/>
      <c r="AV566" s="1"/>
      <c r="BC566" s="1"/>
      <c r="BD566" s="1"/>
      <c r="BE566" s="1"/>
      <c r="BF566" s="1"/>
      <c r="BG566" s="1"/>
      <c r="BH566" s="1"/>
      <c r="BI566" s="1"/>
      <c r="BJ566" s="1"/>
      <c r="BK566" s="1"/>
      <c r="BL566" s="1"/>
      <c r="BM566" s="1"/>
      <c r="BN566" s="1"/>
      <c r="BO566" s="1"/>
      <c r="BP566" s="1"/>
      <c r="BQ566" s="1"/>
      <c r="BR566" s="1"/>
      <c r="BS566" s="1"/>
      <c r="BT566" s="1"/>
      <c r="BU566" s="1"/>
      <c r="BV566" s="1"/>
      <c r="BW566" s="1"/>
      <c r="BX566" s="1"/>
      <c r="BY566" s="1"/>
      <c r="BZ566" s="1"/>
      <c r="CA566" s="1"/>
      <c r="CM566"/>
      <c r="CN566"/>
      <c r="CO566"/>
      <c r="CP566"/>
      <c r="CQ566"/>
      <c r="CR566"/>
    </row>
    <row r="567" spans="33:96">
      <c r="AG567" s="1"/>
      <c r="AH567" s="1"/>
      <c r="AI567" s="1"/>
      <c r="AJ567" s="1"/>
      <c r="AR567" s="1"/>
      <c r="AS567" s="1"/>
      <c r="AT567" s="1"/>
      <c r="AV567" s="1"/>
      <c r="BC567" s="1"/>
      <c r="BD567" s="1"/>
      <c r="BE567" s="1"/>
      <c r="BF567" s="1"/>
      <c r="BG567" s="1"/>
      <c r="BH567" s="1"/>
      <c r="BI567" s="1"/>
      <c r="BJ567" s="1"/>
      <c r="BK567" s="1"/>
      <c r="BL567" s="1"/>
      <c r="BM567" s="1"/>
      <c r="BN567" s="1"/>
      <c r="BO567" s="1"/>
      <c r="BP567" s="1"/>
      <c r="BQ567" s="1"/>
      <c r="BR567" s="1"/>
      <c r="BS567" s="1"/>
      <c r="BT567" s="1"/>
      <c r="BU567" s="1"/>
      <c r="BV567" s="1"/>
      <c r="BW567" s="1"/>
      <c r="BX567" s="1"/>
      <c r="BY567" s="1"/>
      <c r="BZ567" s="1"/>
      <c r="CA567" s="1"/>
      <c r="CM567"/>
      <c r="CN567"/>
      <c r="CO567"/>
      <c r="CP567"/>
      <c r="CQ567"/>
      <c r="CR567"/>
    </row>
    <row r="568" spans="33:96">
      <c r="AG568" s="1"/>
      <c r="AH568" s="1"/>
      <c r="AI568" s="1"/>
      <c r="AJ568" s="1"/>
      <c r="AR568" s="1"/>
      <c r="AS568" s="1"/>
      <c r="AT568" s="1"/>
      <c r="AV568" s="1"/>
      <c r="BC568" s="1"/>
      <c r="BD568" s="1"/>
      <c r="BE568" s="1"/>
      <c r="BF568" s="1"/>
      <c r="BG568" s="1"/>
      <c r="BH568" s="1"/>
      <c r="BI568" s="1"/>
      <c r="BJ568" s="1"/>
      <c r="BK568" s="1"/>
      <c r="BL568" s="1"/>
      <c r="BM568" s="1"/>
      <c r="BN568" s="1"/>
      <c r="BO568" s="1"/>
      <c r="BP568" s="1"/>
      <c r="BQ568" s="1"/>
      <c r="BR568" s="1"/>
      <c r="BS568" s="1"/>
      <c r="BT568" s="1"/>
      <c r="BU568" s="1"/>
      <c r="BV568" s="1"/>
      <c r="BW568" s="1"/>
      <c r="BX568" s="1"/>
      <c r="BY568" s="1"/>
      <c r="BZ568" s="1"/>
      <c r="CA568" s="1"/>
      <c r="CM568"/>
      <c r="CN568"/>
      <c r="CO568"/>
      <c r="CP568"/>
      <c r="CQ568"/>
      <c r="CR568"/>
    </row>
    <row r="569" spans="33:96">
      <c r="AG569" s="1"/>
      <c r="AH569" s="1"/>
      <c r="AI569" s="1"/>
      <c r="AJ569" s="1"/>
      <c r="AR569" s="1"/>
      <c r="AS569" s="1"/>
      <c r="AT569" s="1"/>
      <c r="AV569" s="1"/>
      <c r="BC569" s="1"/>
      <c r="BD569" s="1"/>
      <c r="BE569" s="1"/>
      <c r="BF569" s="1"/>
      <c r="BG569" s="1"/>
      <c r="BH569" s="1"/>
      <c r="BI569" s="1"/>
      <c r="BJ569" s="1"/>
      <c r="BK569" s="1"/>
      <c r="BL569" s="1"/>
      <c r="BM569" s="1"/>
      <c r="BN569" s="1"/>
      <c r="BO569" s="1"/>
      <c r="BP569" s="1"/>
      <c r="BQ569" s="1"/>
      <c r="BR569" s="1"/>
      <c r="BS569" s="1"/>
      <c r="BT569" s="1"/>
      <c r="BU569" s="1"/>
      <c r="BV569" s="1"/>
      <c r="BW569" s="1"/>
      <c r="BX569" s="1"/>
      <c r="BY569" s="1"/>
      <c r="BZ569" s="1"/>
      <c r="CA569" s="1"/>
      <c r="CM569"/>
      <c r="CN569"/>
      <c r="CO569"/>
      <c r="CP569"/>
      <c r="CQ569"/>
      <c r="CR569"/>
    </row>
    <row r="570" spans="33:96">
      <c r="AG570" s="1"/>
      <c r="AH570" s="1"/>
      <c r="AI570" s="1"/>
      <c r="AJ570" s="1"/>
      <c r="AR570" s="1"/>
      <c r="AS570" s="1"/>
      <c r="AT570" s="1"/>
      <c r="AV570" s="1"/>
      <c r="BC570" s="1"/>
      <c r="BD570" s="1"/>
      <c r="BE570" s="1"/>
      <c r="BF570" s="1"/>
      <c r="BG570" s="1"/>
      <c r="BH570" s="1"/>
      <c r="BI570" s="1"/>
      <c r="BJ570" s="1"/>
      <c r="BK570" s="1"/>
      <c r="BL570" s="1"/>
      <c r="BM570" s="1"/>
      <c r="BN570" s="1"/>
      <c r="BO570" s="1"/>
      <c r="BP570" s="1"/>
      <c r="BQ570" s="1"/>
      <c r="BR570" s="1"/>
      <c r="BS570" s="1"/>
      <c r="BT570" s="1"/>
      <c r="BU570" s="1"/>
      <c r="BV570" s="1"/>
      <c r="BW570" s="1"/>
      <c r="BX570" s="1"/>
      <c r="BY570" s="1"/>
      <c r="BZ570" s="1"/>
      <c r="CA570" s="1"/>
      <c r="CM570"/>
      <c r="CN570"/>
      <c r="CO570"/>
      <c r="CP570"/>
      <c r="CQ570"/>
      <c r="CR570"/>
    </row>
    <row r="571" spans="33:96">
      <c r="AG571" s="1"/>
      <c r="AH571" s="1"/>
      <c r="AI571" s="1"/>
      <c r="AJ571" s="1"/>
      <c r="AR571" s="1"/>
      <c r="AS571" s="1"/>
      <c r="AT571" s="1"/>
      <c r="AV571" s="1"/>
      <c r="BC571" s="1"/>
      <c r="BD571" s="1"/>
      <c r="BE571" s="1"/>
      <c r="BF571" s="1"/>
      <c r="BG571" s="1"/>
      <c r="BH571" s="1"/>
      <c r="BI571" s="1"/>
      <c r="BJ571" s="1"/>
      <c r="BK571" s="1"/>
      <c r="BL571" s="1"/>
      <c r="BM571" s="1"/>
      <c r="BN571" s="1"/>
      <c r="BO571" s="1"/>
      <c r="BP571" s="1"/>
      <c r="BQ571" s="1"/>
      <c r="BR571" s="1"/>
      <c r="BS571" s="1"/>
      <c r="BT571" s="1"/>
      <c r="BU571" s="1"/>
      <c r="BV571" s="1"/>
      <c r="BW571" s="1"/>
      <c r="BX571" s="1"/>
      <c r="BY571" s="1"/>
      <c r="BZ571" s="1"/>
      <c r="CA571" s="1"/>
      <c r="CM571"/>
      <c r="CN571"/>
      <c r="CO571"/>
      <c r="CP571"/>
      <c r="CQ571"/>
      <c r="CR571"/>
    </row>
    <row r="572" spans="33:96">
      <c r="AG572" s="1"/>
      <c r="AH572" s="1"/>
      <c r="AI572" s="1"/>
      <c r="AJ572" s="1"/>
      <c r="AR572" s="1"/>
      <c r="AS572" s="1"/>
      <c r="AT572" s="1"/>
      <c r="AV572" s="1"/>
      <c r="BC572" s="1"/>
      <c r="BD572" s="1"/>
      <c r="BE572" s="1"/>
      <c r="BF572" s="1"/>
      <c r="BG572" s="1"/>
      <c r="BH572" s="1"/>
      <c r="BI572" s="1"/>
      <c r="BJ572" s="1"/>
      <c r="BK572" s="1"/>
      <c r="BL572" s="1"/>
      <c r="BM572" s="1"/>
      <c r="BN572" s="1"/>
      <c r="BO572" s="1"/>
      <c r="BP572" s="1"/>
      <c r="BQ572" s="1"/>
      <c r="BR572" s="1"/>
      <c r="BS572" s="1"/>
      <c r="BT572" s="1"/>
      <c r="BU572" s="1"/>
      <c r="BV572" s="1"/>
      <c r="BW572" s="1"/>
      <c r="BX572" s="1"/>
      <c r="BY572" s="1"/>
      <c r="BZ572" s="1"/>
      <c r="CA572" s="1"/>
      <c r="CM572"/>
      <c r="CN572"/>
      <c r="CO572"/>
      <c r="CP572"/>
      <c r="CQ572"/>
      <c r="CR572"/>
    </row>
    <row r="573" spans="33:96">
      <c r="AG573" s="1"/>
      <c r="AH573" s="1"/>
      <c r="AI573" s="1"/>
      <c r="AJ573" s="1"/>
      <c r="AR573" s="1"/>
      <c r="AS573" s="1"/>
      <c r="AT573" s="1"/>
      <c r="AV573" s="1"/>
      <c r="BC573" s="1"/>
      <c r="BD573" s="1"/>
      <c r="BE573" s="1"/>
      <c r="BF573" s="1"/>
      <c r="BG573" s="1"/>
      <c r="BH573" s="1"/>
      <c r="BI573" s="1"/>
      <c r="BJ573" s="1"/>
      <c r="BK573" s="1"/>
      <c r="BL573" s="1"/>
      <c r="BM573" s="1"/>
      <c r="BN573" s="1"/>
      <c r="BO573" s="1"/>
      <c r="BP573" s="1"/>
      <c r="BQ573" s="1"/>
      <c r="BR573" s="1"/>
      <c r="BS573" s="1"/>
      <c r="BT573" s="1"/>
      <c r="BU573" s="1"/>
      <c r="BV573" s="1"/>
      <c r="BW573" s="1"/>
      <c r="BX573" s="1"/>
      <c r="BY573" s="1"/>
      <c r="BZ573" s="1"/>
      <c r="CA573" s="1"/>
      <c r="CM573"/>
      <c r="CN573"/>
      <c r="CO573"/>
      <c r="CP573"/>
      <c r="CQ573"/>
      <c r="CR573"/>
    </row>
    <row r="574" spans="33:96">
      <c r="AG574" s="1"/>
      <c r="AH574" s="1"/>
      <c r="AI574" s="1"/>
      <c r="AJ574" s="1"/>
      <c r="AR574" s="1"/>
      <c r="AS574" s="1"/>
      <c r="AT574" s="1"/>
      <c r="AV574" s="1"/>
      <c r="BC574" s="1"/>
      <c r="BD574" s="1"/>
      <c r="BE574" s="1"/>
      <c r="BF574" s="1"/>
      <c r="BG574" s="1"/>
      <c r="BH574" s="1"/>
      <c r="BI574" s="1"/>
      <c r="BJ574" s="1"/>
      <c r="BK574" s="1"/>
      <c r="BL574" s="1"/>
      <c r="BM574" s="1"/>
      <c r="BN574" s="1"/>
      <c r="BO574" s="1"/>
      <c r="BP574" s="1"/>
      <c r="BQ574" s="1"/>
      <c r="BR574" s="1"/>
      <c r="BS574" s="1"/>
      <c r="BT574" s="1"/>
      <c r="BU574" s="1"/>
      <c r="BV574" s="1"/>
      <c r="BW574" s="1"/>
      <c r="BX574" s="1"/>
      <c r="BY574" s="1"/>
      <c r="BZ574" s="1"/>
      <c r="CA574" s="1"/>
      <c r="CM574"/>
      <c r="CN574"/>
      <c r="CO574"/>
      <c r="CP574"/>
      <c r="CQ574"/>
      <c r="CR574"/>
    </row>
    <row r="575" spans="33:96">
      <c r="AG575" s="1"/>
      <c r="AH575" s="1"/>
      <c r="AI575" s="1"/>
      <c r="AJ575" s="1"/>
      <c r="AR575" s="1"/>
      <c r="AS575" s="1"/>
      <c r="AT575" s="1"/>
      <c r="AV575" s="1"/>
      <c r="BC575" s="1"/>
      <c r="BD575" s="1"/>
      <c r="BE575" s="1"/>
      <c r="BF575" s="1"/>
      <c r="BG575" s="1"/>
      <c r="BH575" s="1"/>
      <c r="BI575" s="1"/>
      <c r="BJ575" s="1"/>
      <c r="BK575" s="1"/>
      <c r="BL575" s="1"/>
      <c r="BM575" s="1"/>
      <c r="BN575" s="1"/>
      <c r="BO575" s="1"/>
      <c r="BP575" s="1"/>
      <c r="BQ575" s="1"/>
      <c r="BR575" s="1"/>
      <c r="BS575" s="1"/>
      <c r="BT575" s="1"/>
      <c r="BU575" s="1"/>
      <c r="BV575" s="1"/>
      <c r="BW575" s="1"/>
      <c r="BX575" s="1"/>
      <c r="BY575" s="1"/>
      <c r="BZ575" s="1"/>
      <c r="CA575" s="1"/>
      <c r="CM575"/>
      <c r="CN575"/>
      <c r="CO575"/>
      <c r="CP575"/>
      <c r="CQ575"/>
      <c r="CR575"/>
    </row>
    <row r="576" spans="33:96">
      <c r="AG576" s="1"/>
      <c r="AH576" s="1"/>
      <c r="AI576" s="1"/>
      <c r="AJ576" s="1"/>
      <c r="AR576" s="1"/>
      <c r="AS576" s="1"/>
      <c r="AT576" s="1"/>
      <c r="AV576" s="1"/>
      <c r="BC576" s="1"/>
      <c r="BD576" s="1"/>
      <c r="BE576" s="1"/>
      <c r="BF576" s="1"/>
      <c r="BG576" s="1"/>
      <c r="BH576" s="1"/>
      <c r="BI576" s="1"/>
      <c r="BJ576" s="1"/>
      <c r="BK576" s="1"/>
      <c r="BL576" s="1"/>
      <c r="BM576" s="1"/>
      <c r="BN576" s="1"/>
      <c r="BO576" s="1"/>
      <c r="BP576" s="1"/>
      <c r="BQ576" s="1"/>
      <c r="BR576" s="1"/>
      <c r="BS576" s="1"/>
      <c r="BT576" s="1"/>
      <c r="BU576" s="1"/>
      <c r="BV576" s="1"/>
      <c r="BW576" s="1"/>
      <c r="BX576" s="1"/>
      <c r="BY576" s="1"/>
      <c r="BZ576" s="1"/>
      <c r="CA576" s="1"/>
      <c r="CM576"/>
      <c r="CN576"/>
      <c r="CO576"/>
      <c r="CP576"/>
      <c r="CQ576"/>
      <c r="CR576"/>
    </row>
    <row r="577" spans="33:96">
      <c r="AG577" s="1"/>
      <c r="AH577" s="1"/>
      <c r="AI577" s="1"/>
      <c r="AJ577" s="1"/>
      <c r="AR577" s="1"/>
      <c r="AS577" s="1"/>
      <c r="AT577" s="1"/>
      <c r="AV577" s="1"/>
      <c r="BC577" s="1"/>
      <c r="BD577" s="1"/>
      <c r="BE577" s="1"/>
      <c r="BF577" s="1"/>
      <c r="BG577" s="1"/>
      <c r="BH577" s="1"/>
      <c r="BI577" s="1"/>
      <c r="BJ577" s="1"/>
      <c r="BK577" s="1"/>
      <c r="BL577" s="1"/>
      <c r="BM577" s="1"/>
      <c r="BN577" s="1"/>
      <c r="BO577" s="1"/>
      <c r="BP577" s="1"/>
      <c r="BQ577" s="1"/>
      <c r="BR577" s="1"/>
      <c r="BS577" s="1"/>
      <c r="BT577" s="1"/>
      <c r="BU577" s="1"/>
      <c r="BV577" s="1"/>
      <c r="BW577" s="1"/>
      <c r="BX577" s="1"/>
      <c r="BY577" s="1"/>
      <c r="BZ577" s="1"/>
      <c r="CA577" s="1"/>
      <c r="CM577"/>
      <c r="CN577"/>
      <c r="CO577"/>
      <c r="CP577"/>
      <c r="CQ577"/>
      <c r="CR577"/>
    </row>
    <row r="578" spans="33:96">
      <c r="AG578" s="1"/>
      <c r="AH578" s="1"/>
      <c r="AI578" s="1"/>
      <c r="AJ578" s="1"/>
      <c r="AR578" s="1"/>
      <c r="AS578" s="1"/>
      <c r="AT578" s="1"/>
      <c r="AV578" s="1"/>
      <c r="BC578" s="1"/>
      <c r="BD578" s="1"/>
      <c r="BE578" s="1"/>
      <c r="BF578" s="1"/>
      <c r="BG578" s="1"/>
      <c r="BH578" s="1"/>
      <c r="BI578" s="1"/>
      <c r="BJ578" s="1"/>
      <c r="BK578" s="1"/>
      <c r="BL578" s="1"/>
      <c r="BM578" s="1"/>
      <c r="BN578" s="1"/>
      <c r="BO578" s="1"/>
      <c r="BP578" s="1"/>
      <c r="BQ578" s="1"/>
      <c r="BR578" s="1"/>
      <c r="BS578" s="1"/>
      <c r="BT578" s="1"/>
      <c r="BU578" s="1"/>
      <c r="BV578" s="1"/>
      <c r="BW578" s="1"/>
      <c r="BX578" s="1"/>
      <c r="BY578" s="1"/>
      <c r="BZ578" s="1"/>
      <c r="CA578" s="1"/>
      <c r="CM578"/>
      <c r="CN578"/>
      <c r="CO578"/>
      <c r="CP578"/>
      <c r="CQ578"/>
      <c r="CR578"/>
    </row>
    <row r="579" spans="33:96">
      <c r="AG579" s="1"/>
      <c r="AH579" s="1"/>
      <c r="AI579" s="1"/>
      <c r="AJ579" s="1"/>
      <c r="AR579" s="1"/>
      <c r="AS579" s="1"/>
      <c r="AT579" s="1"/>
      <c r="AV579" s="1"/>
      <c r="BC579" s="1"/>
      <c r="BD579" s="1"/>
      <c r="BE579" s="1"/>
      <c r="BF579" s="1"/>
      <c r="BG579" s="1"/>
      <c r="BH579" s="1"/>
      <c r="BI579" s="1"/>
      <c r="BJ579" s="1"/>
      <c r="BK579" s="1"/>
      <c r="BL579" s="1"/>
      <c r="BM579" s="1"/>
      <c r="BN579" s="1"/>
      <c r="BO579" s="1"/>
      <c r="BP579" s="1"/>
      <c r="BQ579" s="1"/>
      <c r="BR579" s="1"/>
      <c r="BS579" s="1"/>
      <c r="BT579" s="1"/>
      <c r="BU579" s="1"/>
      <c r="BV579" s="1"/>
      <c r="BW579" s="1"/>
      <c r="BX579" s="1"/>
      <c r="BY579" s="1"/>
      <c r="BZ579" s="1"/>
      <c r="CA579" s="1"/>
      <c r="CM579"/>
      <c r="CN579"/>
      <c r="CO579"/>
      <c r="CP579"/>
      <c r="CQ579"/>
      <c r="CR579"/>
    </row>
    <row r="580" spans="33:96">
      <c r="AG580" s="1"/>
      <c r="AH580" s="1"/>
      <c r="AI580" s="1"/>
      <c r="AJ580" s="1"/>
      <c r="AR580" s="1"/>
      <c r="AS580" s="1"/>
      <c r="AT580" s="1"/>
      <c r="AV580" s="1"/>
      <c r="BC580" s="1"/>
      <c r="BD580" s="1"/>
      <c r="BE580" s="1"/>
      <c r="BF580" s="1"/>
      <c r="BG580" s="1"/>
      <c r="BH580" s="1"/>
      <c r="BI580" s="1"/>
      <c r="BJ580" s="1"/>
      <c r="BK580" s="1"/>
      <c r="BL580" s="1"/>
      <c r="BM580" s="1"/>
      <c r="BN580" s="1"/>
      <c r="BO580" s="1"/>
      <c r="BP580" s="1"/>
      <c r="BQ580" s="1"/>
      <c r="BR580" s="1"/>
      <c r="BS580" s="1"/>
      <c r="BT580" s="1"/>
      <c r="BU580" s="1"/>
      <c r="BV580" s="1"/>
      <c r="BW580" s="1"/>
      <c r="BX580" s="1"/>
      <c r="BY580" s="1"/>
      <c r="BZ580" s="1"/>
      <c r="CA580" s="1"/>
      <c r="CM580"/>
      <c r="CN580"/>
      <c r="CO580"/>
      <c r="CP580"/>
      <c r="CQ580"/>
      <c r="CR580"/>
    </row>
    <row r="581" spans="33:96">
      <c r="AG581" s="1"/>
      <c r="AH581" s="1"/>
      <c r="AI581" s="1"/>
      <c r="AJ581" s="1"/>
      <c r="AR581" s="1"/>
      <c r="AS581" s="1"/>
      <c r="AT581" s="1"/>
      <c r="AV581" s="1"/>
      <c r="BC581" s="1"/>
      <c r="BD581" s="1"/>
      <c r="BE581" s="1"/>
      <c r="BF581" s="1"/>
      <c r="BG581" s="1"/>
      <c r="BH581" s="1"/>
      <c r="BI581" s="1"/>
      <c r="BJ581" s="1"/>
      <c r="BK581" s="1"/>
      <c r="BL581" s="1"/>
      <c r="BM581" s="1"/>
      <c r="BN581" s="1"/>
      <c r="BO581" s="1"/>
      <c r="BP581" s="1"/>
      <c r="BQ581" s="1"/>
      <c r="BR581" s="1"/>
      <c r="BS581" s="1"/>
      <c r="BT581" s="1"/>
      <c r="BU581" s="1"/>
      <c r="BV581" s="1"/>
      <c r="BW581" s="1"/>
      <c r="BX581" s="1"/>
      <c r="BY581" s="1"/>
      <c r="BZ581" s="1"/>
      <c r="CA581" s="1"/>
      <c r="CM581"/>
      <c r="CN581"/>
      <c r="CO581"/>
      <c r="CP581"/>
      <c r="CQ581"/>
      <c r="CR581"/>
    </row>
    <row r="582" spans="33:96">
      <c r="AG582" s="1"/>
      <c r="AH582" s="1"/>
      <c r="AI582" s="1"/>
      <c r="AJ582" s="1"/>
      <c r="AR582" s="1"/>
      <c r="AS582" s="1"/>
      <c r="AT582" s="1"/>
      <c r="AV582" s="1"/>
      <c r="BC582" s="1"/>
      <c r="BD582" s="1"/>
      <c r="BE582" s="1"/>
      <c r="BF582" s="1"/>
      <c r="BG582" s="1"/>
      <c r="BH582" s="1"/>
      <c r="BI582" s="1"/>
      <c r="BJ582" s="1"/>
      <c r="BK582" s="1"/>
      <c r="BL582" s="1"/>
      <c r="BM582" s="1"/>
      <c r="BN582" s="1"/>
      <c r="BO582" s="1"/>
      <c r="BP582" s="1"/>
      <c r="BQ582" s="1"/>
      <c r="BR582" s="1"/>
      <c r="BS582" s="1"/>
      <c r="BT582" s="1"/>
      <c r="BU582" s="1"/>
      <c r="BV582" s="1"/>
      <c r="BW582" s="1"/>
      <c r="BX582" s="1"/>
      <c r="BY582" s="1"/>
      <c r="BZ582" s="1"/>
      <c r="CA582" s="1"/>
      <c r="CM582"/>
      <c r="CN582"/>
      <c r="CO582"/>
      <c r="CP582"/>
      <c r="CQ582"/>
      <c r="CR582"/>
    </row>
    <row r="583" spans="33:96">
      <c r="AG583" s="1"/>
      <c r="AH583" s="1"/>
      <c r="AI583" s="1"/>
      <c r="AJ583" s="1"/>
      <c r="AR583" s="1"/>
      <c r="AS583" s="1"/>
      <c r="AT583" s="1"/>
      <c r="AV583" s="1"/>
      <c r="BC583" s="1"/>
      <c r="BD583" s="1"/>
      <c r="BE583" s="1"/>
      <c r="BF583" s="1"/>
      <c r="BG583" s="1"/>
      <c r="BH583" s="1"/>
      <c r="BI583" s="1"/>
      <c r="BJ583" s="1"/>
      <c r="BK583" s="1"/>
      <c r="BL583" s="1"/>
      <c r="BM583" s="1"/>
      <c r="BN583" s="1"/>
      <c r="BO583" s="1"/>
      <c r="BP583" s="1"/>
      <c r="BQ583" s="1"/>
      <c r="BR583" s="1"/>
      <c r="BS583" s="1"/>
      <c r="BT583" s="1"/>
      <c r="BU583" s="1"/>
      <c r="BV583" s="1"/>
      <c r="BW583" s="1"/>
      <c r="BX583" s="1"/>
      <c r="BY583" s="1"/>
      <c r="BZ583" s="1"/>
      <c r="CA583" s="1"/>
      <c r="CM583"/>
      <c r="CN583"/>
      <c r="CO583"/>
      <c r="CP583"/>
      <c r="CQ583"/>
      <c r="CR583"/>
    </row>
    <row r="584" spans="33:96">
      <c r="AG584" s="1"/>
      <c r="AH584" s="1"/>
      <c r="AI584" s="1"/>
      <c r="AJ584" s="1"/>
      <c r="AR584" s="1"/>
      <c r="AS584" s="1"/>
      <c r="AT584" s="1"/>
      <c r="AV584" s="1"/>
      <c r="BC584" s="1"/>
      <c r="BD584" s="1"/>
      <c r="BE584" s="1"/>
      <c r="BF584" s="1"/>
      <c r="BG584" s="1"/>
      <c r="BH584" s="1"/>
      <c r="BI584" s="1"/>
      <c r="BJ584" s="1"/>
      <c r="BK584" s="1"/>
      <c r="BL584" s="1"/>
      <c r="BM584" s="1"/>
      <c r="BN584" s="1"/>
      <c r="BO584" s="1"/>
      <c r="BP584" s="1"/>
      <c r="BQ584" s="1"/>
      <c r="BR584" s="1"/>
      <c r="BS584" s="1"/>
      <c r="BT584" s="1"/>
      <c r="BU584" s="1"/>
      <c r="BV584" s="1"/>
      <c r="BW584" s="1"/>
      <c r="BX584" s="1"/>
      <c r="BY584" s="1"/>
      <c r="BZ584" s="1"/>
      <c r="CA584" s="1"/>
      <c r="CM584"/>
      <c r="CN584"/>
      <c r="CO584"/>
      <c r="CP584"/>
      <c r="CQ584"/>
      <c r="CR584"/>
    </row>
    <row r="585" spans="33:96">
      <c r="AG585" s="1"/>
      <c r="AH585" s="1"/>
      <c r="AI585" s="1"/>
      <c r="AJ585" s="1"/>
      <c r="AR585" s="1"/>
      <c r="AS585" s="1"/>
      <c r="AT585" s="1"/>
      <c r="AV585" s="1"/>
      <c r="BC585" s="1"/>
      <c r="BD585" s="1"/>
      <c r="BE585" s="1"/>
      <c r="BF585" s="1"/>
      <c r="BG585" s="1"/>
      <c r="BH585" s="1"/>
      <c r="BI585" s="1"/>
      <c r="BJ585" s="1"/>
      <c r="BK585" s="1"/>
      <c r="BL585" s="1"/>
      <c r="BM585" s="1"/>
      <c r="BN585" s="1"/>
      <c r="BO585" s="1"/>
      <c r="BP585" s="1"/>
      <c r="BQ585" s="1"/>
      <c r="BR585" s="1"/>
      <c r="BS585" s="1"/>
      <c r="BT585" s="1"/>
      <c r="BU585" s="1"/>
      <c r="BV585" s="1"/>
      <c r="BW585" s="1"/>
      <c r="BX585" s="1"/>
      <c r="BY585" s="1"/>
      <c r="BZ585" s="1"/>
      <c r="CA585" s="1"/>
      <c r="CM585"/>
      <c r="CN585"/>
      <c r="CO585"/>
      <c r="CP585"/>
      <c r="CQ585"/>
      <c r="CR585"/>
    </row>
    <row r="586" spans="33:96">
      <c r="AG586" s="1"/>
      <c r="AH586" s="1"/>
      <c r="AI586" s="1"/>
      <c r="AJ586" s="1"/>
      <c r="AR586" s="1"/>
      <c r="AS586" s="1"/>
      <c r="AT586" s="1"/>
      <c r="AV586" s="1"/>
      <c r="BC586" s="1"/>
      <c r="BD586" s="1"/>
      <c r="BE586" s="1"/>
      <c r="BF586" s="1"/>
      <c r="BG586" s="1"/>
      <c r="BH586" s="1"/>
      <c r="BI586" s="1"/>
      <c r="BJ586" s="1"/>
      <c r="BK586" s="1"/>
      <c r="BL586" s="1"/>
      <c r="BM586" s="1"/>
      <c r="BN586" s="1"/>
      <c r="BO586" s="1"/>
      <c r="BP586" s="1"/>
      <c r="BQ586" s="1"/>
      <c r="BR586" s="1"/>
      <c r="BS586" s="1"/>
      <c r="BT586" s="1"/>
      <c r="BU586" s="1"/>
      <c r="BV586" s="1"/>
      <c r="BW586" s="1"/>
      <c r="BX586" s="1"/>
      <c r="BY586" s="1"/>
      <c r="BZ586" s="1"/>
      <c r="CA586" s="1"/>
      <c r="CM586"/>
      <c r="CN586"/>
      <c r="CO586"/>
      <c r="CP586"/>
      <c r="CQ586"/>
      <c r="CR586"/>
    </row>
    <row r="587" spans="33:96">
      <c r="AG587" s="1"/>
      <c r="AH587" s="1"/>
      <c r="AI587" s="1"/>
      <c r="AJ587" s="1"/>
      <c r="AR587" s="1"/>
      <c r="AS587" s="1"/>
      <c r="AT587" s="1"/>
      <c r="AV587" s="1"/>
      <c r="BC587" s="1"/>
      <c r="BD587" s="1"/>
      <c r="BE587" s="1"/>
      <c r="BF587" s="1"/>
      <c r="BG587" s="1"/>
      <c r="BH587" s="1"/>
      <c r="BI587" s="1"/>
      <c r="BJ587" s="1"/>
      <c r="BK587" s="1"/>
      <c r="BL587" s="1"/>
      <c r="BM587" s="1"/>
      <c r="BN587" s="1"/>
      <c r="BO587" s="1"/>
      <c r="BP587" s="1"/>
      <c r="BQ587" s="1"/>
      <c r="BR587" s="1"/>
      <c r="BS587" s="1"/>
      <c r="BT587" s="1"/>
      <c r="BU587" s="1"/>
      <c r="BV587" s="1"/>
      <c r="BW587" s="1"/>
      <c r="BX587" s="1"/>
      <c r="BY587" s="1"/>
      <c r="BZ587" s="1"/>
      <c r="CA587" s="1"/>
      <c r="CM587"/>
      <c r="CN587"/>
      <c r="CO587"/>
      <c r="CP587"/>
      <c r="CQ587"/>
      <c r="CR587"/>
    </row>
    <row r="588" spans="33:96">
      <c r="AG588" s="1"/>
      <c r="AH588" s="1"/>
      <c r="AI588" s="1"/>
      <c r="AJ588" s="1"/>
      <c r="AR588" s="1"/>
      <c r="AS588" s="1"/>
      <c r="AT588" s="1"/>
      <c r="AV588" s="1"/>
      <c r="BC588" s="1"/>
      <c r="BD588" s="1"/>
      <c r="BE588" s="1"/>
      <c r="BF588" s="1"/>
      <c r="BG588" s="1"/>
      <c r="BH588" s="1"/>
      <c r="BI588" s="1"/>
      <c r="BJ588" s="1"/>
      <c r="BK588" s="1"/>
      <c r="BL588" s="1"/>
      <c r="BM588" s="1"/>
      <c r="BN588" s="1"/>
      <c r="BO588" s="1"/>
      <c r="BP588" s="1"/>
      <c r="BQ588" s="1"/>
      <c r="BR588" s="1"/>
      <c r="BS588" s="1"/>
      <c r="BT588" s="1"/>
      <c r="BU588" s="1"/>
      <c r="BV588" s="1"/>
      <c r="BW588" s="1"/>
      <c r="BX588" s="1"/>
      <c r="BY588" s="1"/>
      <c r="BZ588" s="1"/>
      <c r="CA588" s="1"/>
      <c r="CM588"/>
      <c r="CN588"/>
      <c r="CO588"/>
      <c r="CP588"/>
      <c r="CQ588"/>
      <c r="CR588"/>
    </row>
    <row r="589" spans="33:96">
      <c r="AG589" s="1"/>
      <c r="AH589" s="1"/>
      <c r="AI589" s="1"/>
      <c r="AJ589" s="1"/>
      <c r="AR589" s="1"/>
      <c r="AS589" s="1"/>
      <c r="AT589" s="1"/>
      <c r="AV589" s="1"/>
      <c r="BC589" s="1"/>
      <c r="BD589" s="1"/>
      <c r="BE589" s="1"/>
      <c r="BF589" s="1"/>
      <c r="BG589" s="1"/>
      <c r="BH589" s="1"/>
      <c r="BI589" s="1"/>
      <c r="BJ589" s="1"/>
      <c r="BK589" s="1"/>
      <c r="BL589" s="1"/>
      <c r="BM589" s="1"/>
      <c r="BN589" s="1"/>
      <c r="BO589" s="1"/>
      <c r="BP589" s="1"/>
      <c r="BQ589" s="1"/>
      <c r="BR589" s="1"/>
      <c r="BS589" s="1"/>
      <c r="BT589" s="1"/>
      <c r="BU589" s="1"/>
      <c r="BV589" s="1"/>
      <c r="BW589" s="1"/>
      <c r="BX589" s="1"/>
      <c r="BY589" s="1"/>
      <c r="BZ589" s="1"/>
      <c r="CA589" s="1"/>
      <c r="CM589"/>
      <c r="CN589"/>
      <c r="CO589"/>
      <c r="CP589"/>
      <c r="CQ589"/>
      <c r="CR589"/>
    </row>
    <row r="590" spans="33:96">
      <c r="AG590" s="1"/>
      <c r="AH590" s="1"/>
      <c r="AI590" s="1"/>
      <c r="AJ590" s="1"/>
      <c r="AR590" s="1"/>
      <c r="AS590" s="1"/>
      <c r="AT590" s="1"/>
      <c r="AV590" s="1"/>
      <c r="BC590" s="1"/>
      <c r="BD590" s="1"/>
      <c r="BE590" s="1"/>
      <c r="BF590" s="1"/>
      <c r="BG590" s="1"/>
      <c r="BH590" s="1"/>
      <c r="BI590" s="1"/>
      <c r="BJ590" s="1"/>
      <c r="BK590" s="1"/>
      <c r="BL590" s="1"/>
      <c r="BM590" s="1"/>
      <c r="BN590" s="1"/>
      <c r="BO590" s="1"/>
      <c r="BP590" s="1"/>
      <c r="BQ590" s="1"/>
      <c r="BR590" s="1"/>
      <c r="BS590" s="1"/>
      <c r="BT590" s="1"/>
      <c r="BU590" s="1"/>
      <c r="BV590" s="1"/>
      <c r="BW590" s="1"/>
      <c r="BX590" s="1"/>
      <c r="BY590" s="1"/>
      <c r="BZ590" s="1"/>
      <c r="CA590" s="1"/>
      <c r="CM590"/>
      <c r="CN590"/>
      <c r="CO590"/>
      <c r="CP590"/>
      <c r="CQ590"/>
      <c r="CR590"/>
    </row>
    <row r="591" spans="33:96">
      <c r="AG591" s="1"/>
      <c r="AH591" s="1"/>
      <c r="AI591" s="1"/>
      <c r="AJ591" s="1"/>
      <c r="AR591" s="1"/>
      <c r="AS591" s="1"/>
      <c r="AT591" s="1"/>
      <c r="AV591" s="1"/>
      <c r="BC591" s="1"/>
      <c r="BD591" s="1"/>
      <c r="BE591" s="1"/>
      <c r="BF591" s="1"/>
      <c r="BG591" s="1"/>
      <c r="BH591" s="1"/>
      <c r="BI591" s="1"/>
      <c r="BJ591" s="1"/>
      <c r="BK591" s="1"/>
      <c r="BL591" s="1"/>
      <c r="BM591" s="1"/>
      <c r="BN591" s="1"/>
      <c r="BO591" s="1"/>
      <c r="BP591" s="1"/>
      <c r="BQ591" s="1"/>
      <c r="BR591" s="1"/>
      <c r="BS591" s="1"/>
      <c r="BT591" s="1"/>
      <c r="BU591" s="1"/>
      <c r="BV591" s="1"/>
      <c r="BW591" s="1"/>
      <c r="BX591" s="1"/>
      <c r="BY591" s="1"/>
      <c r="BZ591" s="1"/>
      <c r="CA591" s="1"/>
      <c r="CM591"/>
      <c r="CN591"/>
      <c r="CO591"/>
      <c r="CP591"/>
      <c r="CQ591"/>
      <c r="CR591"/>
    </row>
    <row r="592" spans="33:96">
      <c r="AG592" s="1"/>
      <c r="AH592" s="1"/>
      <c r="AI592" s="1"/>
      <c r="AJ592" s="1"/>
      <c r="AR592" s="1"/>
      <c r="AS592" s="1"/>
      <c r="AT592" s="1"/>
      <c r="AV592" s="1"/>
      <c r="BC592" s="1"/>
      <c r="BD592" s="1"/>
      <c r="BE592" s="1"/>
      <c r="BF592" s="1"/>
      <c r="BG592" s="1"/>
      <c r="BH592" s="1"/>
      <c r="BI592" s="1"/>
      <c r="BJ592" s="1"/>
      <c r="BK592" s="1"/>
      <c r="BL592" s="1"/>
      <c r="BM592" s="1"/>
      <c r="BN592" s="1"/>
      <c r="BO592" s="1"/>
      <c r="BP592" s="1"/>
      <c r="BQ592" s="1"/>
      <c r="BR592" s="1"/>
      <c r="BS592" s="1"/>
      <c r="BT592" s="1"/>
      <c r="BU592" s="1"/>
      <c r="BV592" s="1"/>
      <c r="BW592" s="1"/>
      <c r="BX592" s="1"/>
      <c r="BY592" s="1"/>
      <c r="BZ592" s="1"/>
      <c r="CA592" s="1"/>
      <c r="CM592"/>
      <c r="CN592"/>
      <c r="CO592"/>
      <c r="CP592"/>
      <c r="CQ592"/>
      <c r="CR592"/>
    </row>
    <row r="593" spans="33:96">
      <c r="AG593" s="1"/>
      <c r="AH593" s="1"/>
      <c r="AI593" s="1"/>
      <c r="AJ593" s="1"/>
      <c r="AR593" s="1"/>
      <c r="AS593" s="1"/>
      <c r="AT593" s="1"/>
      <c r="AV593" s="1"/>
      <c r="BC593" s="1"/>
      <c r="BD593" s="1"/>
      <c r="BE593" s="1"/>
      <c r="BF593" s="1"/>
      <c r="BG593" s="1"/>
      <c r="BH593" s="1"/>
      <c r="BI593" s="1"/>
      <c r="BJ593" s="1"/>
      <c r="BK593" s="1"/>
      <c r="BL593" s="1"/>
      <c r="BM593" s="1"/>
      <c r="BN593" s="1"/>
      <c r="BO593" s="1"/>
      <c r="BP593" s="1"/>
      <c r="BQ593" s="1"/>
      <c r="BR593" s="1"/>
      <c r="BS593" s="1"/>
      <c r="BT593" s="1"/>
      <c r="BU593" s="1"/>
      <c r="BV593" s="1"/>
      <c r="BW593" s="1"/>
      <c r="BX593" s="1"/>
      <c r="BY593" s="1"/>
      <c r="BZ593" s="1"/>
      <c r="CA593" s="1"/>
      <c r="CM593"/>
      <c r="CN593"/>
      <c r="CO593"/>
      <c r="CP593"/>
      <c r="CQ593"/>
      <c r="CR593"/>
    </row>
    <row r="594" spans="33:96">
      <c r="AG594" s="1"/>
      <c r="AH594" s="1"/>
      <c r="AI594" s="1"/>
      <c r="AJ594" s="1"/>
      <c r="AR594" s="1"/>
      <c r="AS594" s="1"/>
      <c r="AT594" s="1"/>
      <c r="AV594" s="1"/>
      <c r="BC594" s="1"/>
      <c r="BD594" s="1"/>
      <c r="BE594" s="1"/>
      <c r="BF594" s="1"/>
      <c r="BG594" s="1"/>
      <c r="BH594" s="1"/>
      <c r="BI594" s="1"/>
      <c r="BJ594" s="1"/>
      <c r="BK594" s="1"/>
      <c r="BL594" s="1"/>
      <c r="BM594" s="1"/>
      <c r="BN594" s="1"/>
      <c r="BO594" s="1"/>
      <c r="BP594" s="1"/>
      <c r="BQ594" s="1"/>
      <c r="BR594" s="1"/>
      <c r="BS594" s="1"/>
      <c r="BT594" s="1"/>
      <c r="BU594" s="1"/>
      <c r="BV594" s="1"/>
      <c r="BW594" s="1"/>
      <c r="BX594" s="1"/>
      <c r="BY594" s="1"/>
      <c r="BZ594" s="1"/>
      <c r="CA594" s="1"/>
      <c r="CM594"/>
      <c r="CN594"/>
      <c r="CO594"/>
      <c r="CP594"/>
      <c r="CQ594"/>
      <c r="CR594"/>
    </row>
    <row r="595" spans="33:96">
      <c r="AG595" s="1"/>
      <c r="AH595" s="1"/>
      <c r="AI595" s="1"/>
      <c r="AJ595" s="1"/>
      <c r="AR595" s="1"/>
      <c r="AS595" s="1"/>
      <c r="AT595" s="1"/>
      <c r="AV595" s="1"/>
      <c r="BC595" s="1"/>
      <c r="BD595" s="1"/>
      <c r="BE595" s="1"/>
      <c r="BF595" s="1"/>
      <c r="BG595" s="1"/>
      <c r="BH595" s="1"/>
      <c r="BI595" s="1"/>
      <c r="BJ595" s="1"/>
      <c r="BK595" s="1"/>
      <c r="BL595" s="1"/>
      <c r="BM595" s="1"/>
      <c r="BN595" s="1"/>
      <c r="BO595" s="1"/>
      <c r="BP595" s="1"/>
      <c r="BQ595" s="1"/>
      <c r="BR595" s="1"/>
      <c r="BS595" s="1"/>
      <c r="BT595" s="1"/>
      <c r="BU595" s="1"/>
      <c r="BV595" s="1"/>
      <c r="BW595" s="1"/>
      <c r="BX595" s="1"/>
      <c r="BY595" s="1"/>
      <c r="BZ595" s="1"/>
      <c r="CA595" s="1"/>
      <c r="CM595"/>
      <c r="CN595"/>
      <c r="CO595"/>
      <c r="CP595"/>
      <c r="CQ595"/>
      <c r="CR595"/>
    </row>
    <row r="596" spans="33:96">
      <c r="AG596" s="1"/>
      <c r="AH596" s="1"/>
      <c r="AI596" s="1"/>
      <c r="AJ596" s="1"/>
      <c r="AR596" s="1"/>
      <c r="AS596" s="1"/>
      <c r="AT596" s="1"/>
      <c r="AV596" s="1"/>
      <c r="BC596" s="1"/>
      <c r="BD596" s="1"/>
      <c r="BE596" s="1"/>
      <c r="BF596" s="1"/>
      <c r="BG596" s="1"/>
      <c r="BH596" s="1"/>
      <c r="BI596" s="1"/>
      <c r="BJ596" s="1"/>
      <c r="BK596" s="1"/>
      <c r="BL596" s="1"/>
      <c r="BM596" s="1"/>
      <c r="BN596" s="1"/>
      <c r="BO596" s="1"/>
      <c r="BP596" s="1"/>
      <c r="BQ596" s="1"/>
      <c r="BR596" s="1"/>
      <c r="BS596" s="1"/>
      <c r="BT596" s="1"/>
      <c r="BU596" s="1"/>
      <c r="BV596" s="1"/>
      <c r="BW596" s="1"/>
      <c r="BX596" s="1"/>
      <c r="BY596" s="1"/>
      <c r="BZ596" s="1"/>
      <c r="CA596" s="1"/>
      <c r="CM596"/>
      <c r="CN596"/>
      <c r="CO596"/>
      <c r="CP596"/>
      <c r="CQ596"/>
      <c r="CR596"/>
    </row>
    <row r="597" spans="33:96">
      <c r="AG597" s="1"/>
      <c r="AH597" s="1"/>
      <c r="AI597" s="1"/>
      <c r="AJ597" s="1"/>
      <c r="AR597" s="1"/>
      <c r="AS597" s="1"/>
      <c r="AT597" s="1"/>
      <c r="AV597" s="1"/>
      <c r="BC597" s="1"/>
      <c r="BD597" s="1"/>
      <c r="BE597" s="1"/>
      <c r="BF597" s="1"/>
      <c r="BG597" s="1"/>
      <c r="BH597" s="1"/>
      <c r="BI597" s="1"/>
      <c r="BJ597" s="1"/>
      <c r="BK597" s="1"/>
      <c r="BL597" s="1"/>
      <c r="BM597" s="1"/>
      <c r="BN597" s="1"/>
      <c r="BO597" s="1"/>
      <c r="BP597" s="1"/>
      <c r="BQ597" s="1"/>
      <c r="BR597" s="1"/>
      <c r="BS597" s="1"/>
      <c r="BT597" s="1"/>
      <c r="BU597" s="1"/>
      <c r="BV597" s="1"/>
      <c r="BW597" s="1"/>
      <c r="BX597" s="1"/>
      <c r="BY597" s="1"/>
      <c r="BZ597" s="1"/>
      <c r="CA597" s="1"/>
      <c r="CM597"/>
      <c r="CN597"/>
      <c r="CO597"/>
      <c r="CP597"/>
      <c r="CQ597"/>
      <c r="CR597"/>
    </row>
    <row r="598" spans="33:96">
      <c r="AG598" s="1"/>
      <c r="AH598" s="1"/>
      <c r="AI598" s="1"/>
      <c r="AJ598" s="1"/>
      <c r="AR598" s="1"/>
      <c r="AS598" s="1"/>
      <c r="AT598" s="1"/>
      <c r="AV598" s="1"/>
      <c r="BC598" s="1"/>
      <c r="BD598" s="1"/>
      <c r="BE598" s="1"/>
      <c r="BF598" s="1"/>
      <c r="BG598" s="1"/>
      <c r="BH598" s="1"/>
      <c r="BI598" s="1"/>
      <c r="BJ598" s="1"/>
      <c r="BK598" s="1"/>
      <c r="BL598" s="1"/>
      <c r="BM598" s="1"/>
      <c r="BN598" s="1"/>
      <c r="BO598" s="1"/>
      <c r="BP598" s="1"/>
      <c r="BQ598" s="1"/>
      <c r="BR598" s="1"/>
      <c r="BS598" s="1"/>
      <c r="BT598" s="1"/>
      <c r="BU598" s="1"/>
      <c r="BV598" s="1"/>
      <c r="BW598" s="1"/>
      <c r="BX598" s="1"/>
      <c r="BY598" s="1"/>
      <c r="BZ598" s="1"/>
      <c r="CA598" s="1"/>
      <c r="CM598"/>
      <c r="CN598"/>
      <c r="CO598"/>
      <c r="CP598"/>
      <c r="CQ598"/>
      <c r="CR598"/>
    </row>
    <row r="599" spans="33:96">
      <c r="AG599" s="1"/>
      <c r="AH599" s="1"/>
      <c r="AI599" s="1"/>
      <c r="AJ599" s="1"/>
      <c r="AR599" s="1"/>
      <c r="AS599" s="1"/>
      <c r="AT599" s="1"/>
      <c r="AV599" s="1"/>
      <c r="BC599" s="1"/>
      <c r="BD599" s="1"/>
      <c r="BE599" s="1"/>
      <c r="BF599" s="1"/>
      <c r="BG599" s="1"/>
      <c r="BH599" s="1"/>
      <c r="BI599" s="1"/>
      <c r="BJ599" s="1"/>
      <c r="BK599" s="1"/>
      <c r="BL599" s="1"/>
      <c r="BM599" s="1"/>
      <c r="BN599" s="1"/>
      <c r="BO599" s="1"/>
      <c r="BP599" s="1"/>
      <c r="BQ599" s="1"/>
      <c r="BR599" s="1"/>
      <c r="BS599" s="1"/>
      <c r="BT599" s="1"/>
      <c r="BU599" s="1"/>
      <c r="BV599" s="1"/>
      <c r="BW599" s="1"/>
      <c r="BX599" s="1"/>
      <c r="BY599" s="1"/>
      <c r="BZ599" s="1"/>
      <c r="CA599" s="1"/>
      <c r="CM599"/>
      <c r="CN599"/>
      <c r="CO599"/>
      <c r="CP599"/>
      <c r="CQ599"/>
      <c r="CR599"/>
    </row>
    <row r="600" spans="33:96">
      <c r="AG600" s="1"/>
      <c r="AH600" s="1"/>
      <c r="AI600" s="1"/>
      <c r="AJ600" s="1"/>
      <c r="AR600" s="1"/>
      <c r="AS600" s="1"/>
      <c r="AT600" s="1"/>
      <c r="AV600" s="1"/>
      <c r="BC600" s="1"/>
      <c r="BD600" s="1"/>
      <c r="BE600" s="1"/>
      <c r="BF600" s="1"/>
      <c r="BG600" s="1"/>
      <c r="BH600" s="1"/>
      <c r="BI600" s="1"/>
      <c r="BJ600" s="1"/>
      <c r="BK600" s="1"/>
      <c r="BL600" s="1"/>
      <c r="BM600" s="1"/>
      <c r="BN600" s="1"/>
      <c r="BO600" s="1"/>
      <c r="BP600" s="1"/>
      <c r="BQ600" s="1"/>
      <c r="BR600" s="1"/>
      <c r="BS600" s="1"/>
      <c r="BT600" s="1"/>
      <c r="BU600" s="1"/>
      <c r="BV600" s="1"/>
      <c r="BW600" s="1"/>
      <c r="BX600" s="1"/>
      <c r="BY600" s="1"/>
      <c r="BZ600" s="1"/>
      <c r="CA600" s="1"/>
      <c r="CM600"/>
      <c r="CN600"/>
      <c r="CO600"/>
      <c r="CP600"/>
      <c r="CQ600"/>
      <c r="CR600"/>
    </row>
    <row r="601" spans="33:96">
      <c r="AG601" s="1"/>
      <c r="AH601" s="1"/>
      <c r="AI601" s="1"/>
      <c r="AJ601" s="1"/>
      <c r="AR601" s="1"/>
      <c r="AS601" s="1"/>
      <c r="AT601" s="1"/>
      <c r="AV601" s="1"/>
      <c r="BC601" s="1"/>
      <c r="BD601" s="1"/>
      <c r="BE601" s="1"/>
      <c r="BF601" s="1"/>
      <c r="BG601" s="1"/>
      <c r="BH601" s="1"/>
      <c r="BI601" s="1"/>
      <c r="BJ601" s="1"/>
      <c r="BK601" s="1"/>
      <c r="BL601" s="1"/>
      <c r="BM601" s="1"/>
      <c r="BN601" s="1"/>
      <c r="BO601" s="1"/>
      <c r="BP601" s="1"/>
      <c r="BQ601" s="1"/>
      <c r="BR601" s="1"/>
      <c r="BS601" s="1"/>
      <c r="BT601" s="1"/>
      <c r="BU601" s="1"/>
      <c r="BV601" s="1"/>
      <c r="BW601" s="1"/>
      <c r="BX601" s="1"/>
      <c r="BY601" s="1"/>
      <c r="BZ601" s="1"/>
      <c r="CA601" s="1"/>
      <c r="CM601"/>
      <c r="CN601"/>
      <c r="CO601"/>
      <c r="CP601"/>
      <c r="CQ601"/>
      <c r="CR601"/>
    </row>
    <row r="602" spans="33:96">
      <c r="AG602" s="1"/>
      <c r="AH602" s="1"/>
      <c r="AI602" s="1"/>
      <c r="AJ602" s="1"/>
      <c r="AR602" s="1"/>
      <c r="AS602" s="1"/>
      <c r="AT602" s="1"/>
      <c r="AV602" s="1"/>
      <c r="BC602" s="1"/>
      <c r="BD602" s="1"/>
      <c r="BE602" s="1"/>
      <c r="BF602" s="1"/>
      <c r="BG602" s="1"/>
      <c r="BH602" s="1"/>
      <c r="BI602" s="1"/>
      <c r="BJ602" s="1"/>
      <c r="BK602" s="1"/>
      <c r="BL602" s="1"/>
      <c r="BM602" s="1"/>
      <c r="BN602" s="1"/>
      <c r="BO602" s="1"/>
      <c r="BP602" s="1"/>
      <c r="BQ602" s="1"/>
      <c r="BR602" s="1"/>
      <c r="BS602" s="1"/>
      <c r="BT602" s="1"/>
      <c r="BU602" s="1"/>
      <c r="BV602" s="1"/>
      <c r="BW602" s="1"/>
      <c r="BX602" s="1"/>
      <c r="BY602" s="1"/>
      <c r="BZ602" s="1"/>
      <c r="CA602" s="1"/>
      <c r="CM602"/>
      <c r="CN602"/>
      <c r="CO602"/>
      <c r="CP602"/>
      <c r="CQ602"/>
      <c r="CR602"/>
    </row>
    <row r="603" spans="33:96">
      <c r="AG603" s="1"/>
      <c r="AH603" s="1"/>
      <c r="AI603" s="1"/>
      <c r="AJ603" s="1"/>
      <c r="AR603" s="1"/>
      <c r="AS603" s="1"/>
      <c r="AT603" s="1"/>
      <c r="AV603" s="1"/>
      <c r="BC603" s="1"/>
      <c r="BD603" s="1"/>
      <c r="BE603" s="1"/>
      <c r="BF603" s="1"/>
      <c r="BG603" s="1"/>
      <c r="BH603" s="1"/>
      <c r="BI603" s="1"/>
      <c r="BJ603" s="1"/>
      <c r="BK603" s="1"/>
      <c r="BL603" s="1"/>
      <c r="BM603" s="1"/>
      <c r="BN603" s="1"/>
      <c r="BO603" s="1"/>
      <c r="BP603" s="1"/>
      <c r="BQ603" s="1"/>
      <c r="BR603" s="1"/>
      <c r="BS603" s="1"/>
      <c r="BT603" s="1"/>
      <c r="BU603" s="1"/>
      <c r="BV603" s="1"/>
      <c r="BW603" s="1"/>
      <c r="BX603" s="1"/>
      <c r="BY603" s="1"/>
      <c r="BZ603" s="1"/>
      <c r="CA603" s="1"/>
      <c r="CM603"/>
      <c r="CN603"/>
      <c r="CO603"/>
      <c r="CP603"/>
      <c r="CQ603"/>
      <c r="CR603"/>
    </row>
    <row r="604" spans="33:96">
      <c r="AG604" s="1"/>
      <c r="AH604" s="1"/>
      <c r="AI604" s="1"/>
      <c r="AJ604" s="1"/>
      <c r="AR604" s="1"/>
      <c r="AS604" s="1"/>
      <c r="AT604" s="1"/>
      <c r="AV604" s="1"/>
      <c r="BC604" s="1"/>
      <c r="BD604" s="1"/>
      <c r="BE604" s="1"/>
      <c r="BF604" s="1"/>
      <c r="BG604" s="1"/>
      <c r="BH604" s="1"/>
      <c r="BI604" s="1"/>
      <c r="BJ604" s="1"/>
      <c r="BK604" s="1"/>
      <c r="BL604" s="1"/>
      <c r="BM604" s="1"/>
      <c r="BN604" s="1"/>
      <c r="BO604" s="1"/>
      <c r="BP604" s="1"/>
      <c r="BQ604" s="1"/>
      <c r="BR604" s="1"/>
      <c r="BS604" s="1"/>
      <c r="BT604" s="1"/>
      <c r="BU604" s="1"/>
      <c r="BV604" s="1"/>
      <c r="BW604" s="1"/>
      <c r="BX604" s="1"/>
      <c r="BY604" s="1"/>
      <c r="BZ604" s="1"/>
      <c r="CA604" s="1"/>
      <c r="CM604"/>
      <c r="CN604"/>
      <c r="CO604"/>
      <c r="CP604"/>
      <c r="CQ604"/>
      <c r="CR604"/>
    </row>
    <row r="605" spans="33:96">
      <c r="AG605" s="1"/>
      <c r="AH605" s="1"/>
      <c r="AI605" s="1"/>
      <c r="AJ605" s="1"/>
      <c r="AR605" s="1"/>
      <c r="AS605" s="1"/>
      <c r="AT605" s="1"/>
      <c r="AV605" s="1"/>
      <c r="BC605" s="1"/>
      <c r="BD605" s="1"/>
      <c r="BE605" s="1"/>
      <c r="BF605" s="1"/>
      <c r="BG605" s="1"/>
      <c r="BH605" s="1"/>
      <c r="BI605" s="1"/>
      <c r="BJ605" s="1"/>
      <c r="BK605" s="1"/>
      <c r="BL605" s="1"/>
      <c r="BM605" s="1"/>
      <c r="BN605" s="1"/>
      <c r="BO605" s="1"/>
      <c r="BP605" s="1"/>
      <c r="BQ605" s="1"/>
      <c r="BR605" s="1"/>
      <c r="BS605" s="1"/>
      <c r="BT605" s="1"/>
      <c r="BU605" s="1"/>
      <c r="BV605" s="1"/>
      <c r="BW605" s="1"/>
      <c r="BX605" s="1"/>
      <c r="BY605" s="1"/>
      <c r="BZ605" s="1"/>
      <c r="CA605" s="1"/>
      <c r="CM605"/>
      <c r="CN605"/>
      <c r="CO605"/>
      <c r="CP605"/>
      <c r="CQ605"/>
      <c r="CR605"/>
    </row>
    <row r="606" spans="33:96">
      <c r="AG606" s="1"/>
      <c r="AH606" s="1"/>
      <c r="AI606" s="1"/>
      <c r="AJ606" s="1"/>
      <c r="AR606" s="1"/>
      <c r="AS606" s="1"/>
      <c r="AT606" s="1"/>
      <c r="AV606" s="1"/>
      <c r="BC606" s="1"/>
      <c r="BD606" s="1"/>
      <c r="BE606" s="1"/>
      <c r="BF606" s="1"/>
      <c r="BG606" s="1"/>
      <c r="BH606" s="1"/>
      <c r="BI606" s="1"/>
      <c r="BJ606" s="1"/>
      <c r="BK606" s="1"/>
      <c r="BL606" s="1"/>
      <c r="BM606" s="1"/>
      <c r="BN606" s="1"/>
      <c r="BO606" s="1"/>
      <c r="BP606" s="1"/>
      <c r="BQ606" s="1"/>
      <c r="BR606" s="1"/>
      <c r="BS606" s="1"/>
      <c r="BT606" s="1"/>
      <c r="BU606" s="1"/>
      <c r="BV606" s="1"/>
      <c r="BW606" s="1"/>
      <c r="BX606" s="1"/>
      <c r="BY606" s="1"/>
      <c r="BZ606" s="1"/>
      <c r="CA606" s="1"/>
      <c r="CM606"/>
      <c r="CN606"/>
      <c r="CO606"/>
      <c r="CP606"/>
      <c r="CQ606"/>
      <c r="CR606"/>
    </row>
    <row r="607" spans="33:96">
      <c r="AG607" s="1"/>
      <c r="AH607" s="1"/>
      <c r="AI607" s="1"/>
      <c r="AJ607" s="1"/>
      <c r="AR607" s="1"/>
      <c r="AS607" s="1"/>
      <c r="AT607" s="1"/>
      <c r="AV607" s="1"/>
      <c r="BC607" s="1"/>
      <c r="BD607" s="1"/>
      <c r="BE607" s="1"/>
      <c r="BF607" s="1"/>
      <c r="BG607" s="1"/>
      <c r="BH607" s="1"/>
      <c r="BI607" s="1"/>
      <c r="BJ607" s="1"/>
      <c r="BK607" s="1"/>
      <c r="BL607" s="1"/>
      <c r="BM607" s="1"/>
      <c r="BN607" s="1"/>
      <c r="BO607" s="1"/>
      <c r="BP607" s="1"/>
      <c r="BQ607" s="1"/>
      <c r="BR607" s="1"/>
      <c r="BS607" s="1"/>
      <c r="BT607" s="1"/>
      <c r="BU607" s="1"/>
      <c r="BV607" s="1"/>
      <c r="BW607" s="1"/>
      <c r="BX607" s="1"/>
      <c r="BY607" s="1"/>
      <c r="BZ607" s="1"/>
      <c r="CA607" s="1"/>
      <c r="CM607"/>
      <c r="CN607"/>
      <c r="CO607"/>
      <c r="CP607"/>
      <c r="CQ607"/>
      <c r="CR607"/>
    </row>
    <row r="608" spans="33:96">
      <c r="AG608" s="1"/>
      <c r="AH608" s="1"/>
      <c r="AI608" s="1"/>
      <c r="AJ608" s="1"/>
      <c r="AR608" s="1"/>
      <c r="AS608" s="1"/>
      <c r="AT608" s="1"/>
      <c r="AV608" s="1"/>
      <c r="BC608" s="1"/>
      <c r="BD608" s="1"/>
      <c r="BE608" s="1"/>
      <c r="BF608" s="1"/>
      <c r="BG608" s="1"/>
      <c r="BH608" s="1"/>
      <c r="BI608" s="1"/>
      <c r="BJ608" s="1"/>
      <c r="BK608" s="1"/>
      <c r="BL608" s="1"/>
      <c r="BM608" s="1"/>
      <c r="BN608" s="1"/>
      <c r="BO608" s="1"/>
      <c r="BP608" s="1"/>
      <c r="BQ608" s="1"/>
      <c r="BR608" s="1"/>
      <c r="BS608" s="1"/>
      <c r="BT608" s="1"/>
      <c r="BU608" s="1"/>
      <c r="BV608" s="1"/>
      <c r="BW608" s="1"/>
      <c r="BX608" s="1"/>
      <c r="BY608" s="1"/>
      <c r="BZ608" s="1"/>
      <c r="CA608" s="1"/>
      <c r="CM608"/>
      <c r="CN608"/>
      <c r="CO608"/>
      <c r="CP608"/>
      <c r="CQ608"/>
      <c r="CR608"/>
    </row>
    <row r="609" spans="33:96">
      <c r="AG609" s="1"/>
      <c r="AH609" s="1"/>
      <c r="AI609" s="1"/>
      <c r="AJ609" s="1"/>
      <c r="AR609" s="1"/>
      <c r="AS609" s="1"/>
      <c r="AT609" s="1"/>
      <c r="AV609" s="1"/>
      <c r="BC609" s="1"/>
      <c r="BD609" s="1"/>
      <c r="BE609" s="1"/>
      <c r="BF609" s="1"/>
      <c r="BG609" s="1"/>
      <c r="BH609" s="1"/>
      <c r="BI609" s="1"/>
      <c r="BJ609" s="1"/>
      <c r="BK609" s="1"/>
      <c r="BL609" s="1"/>
      <c r="BM609" s="1"/>
      <c r="BN609" s="1"/>
      <c r="BO609" s="1"/>
      <c r="BP609" s="1"/>
      <c r="BQ609" s="1"/>
      <c r="BR609" s="1"/>
      <c r="BS609" s="1"/>
      <c r="BT609" s="1"/>
      <c r="BU609" s="1"/>
      <c r="BV609" s="1"/>
      <c r="BW609" s="1"/>
      <c r="BX609" s="1"/>
      <c r="BY609" s="1"/>
      <c r="BZ609" s="1"/>
      <c r="CA609" s="1"/>
      <c r="CM609"/>
      <c r="CN609"/>
      <c r="CO609"/>
      <c r="CP609"/>
      <c r="CQ609"/>
      <c r="CR609"/>
    </row>
    <row r="610" spans="33:96">
      <c r="AG610" s="1"/>
      <c r="AH610" s="1"/>
      <c r="AI610" s="1"/>
      <c r="AJ610" s="1"/>
      <c r="AR610" s="1"/>
      <c r="AS610" s="1"/>
      <c r="AT610" s="1"/>
      <c r="AV610" s="1"/>
      <c r="BC610" s="1"/>
      <c r="BD610" s="1"/>
      <c r="BE610" s="1"/>
      <c r="BF610" s="1"/>
      <c r="BG610" s="1"/>
      <c r="BH610" s="1"/>
      <c r="BI610" s="1"/>
      <c r="BJ610" s="1"/>
      <c r="BK610" s="1"/>
      <c r="BL610" s="1"/>
      <c r="BM610" s="1"/>
      <c r="BN610" s="1"/>
      <c r="BO610" s="1"/>
      <c r="BP610" s="1"/>
      <c r="BQ610" s="1"/>
      <c r="BR610" s="1"/>
      <c r="BS610" s="1"/>
      <c r="BT610" s="1"/>
      <c r="BU610" s="1"/>
      <c r="BV610" s="1"/>
      <c r="BW610" s="1"/>
      <c r="BX610" s="1"/>
      <c r="BY610" s="1"/>
      <c r="BZ610" s="1"/>
      <c r="CA610" s="1"/>
      <c r="CM610"/>
      <c r="CN610"/>
      <c r="CO610"/>
      <c r="CP610"/>
      <c r="CQ610"/>
      <c r="CR610"/>
    </row>
    <row r="611" spans="33:96">
      <c r="AG611" s="1"/>
      <c r="AH611" s="1"/>
      <c r="AI611" s="1"/>
      <c r="AJ611" s="1"/>
      <c r="AR611" s="1"/>
      <c r="AS611" s="1"/>
      <c r="AT611" s="1"/>
      <c r="AV611" s="1"/>
      <c r="BC611" s="1"/>
      <c r="BD611" s="1"/>
      <c r="BE611" s="1"/>
      <c r="BF611" s="1"/>
      <c r="BG611" s="1"/>
      <c r="BH611" s="1"/>
      <c r="BI611" s="1"/>
      <c r="BJ611" s="1"/>
      <c r="BK611" s="1"/>
      <c r="BL611" s="1"/>
      <c r="BM611" s="1"/>
      <c r="BN611" s="1"/>
      <c r="BO611" s="1"/>
      <c r="BP611" s="1"/>
      <c r="BQ611" s="1"/>
      <c r="BR611" s="1"/>
      <c r="BS611" s="1"/>
      <c r="BT611" s="1"/>
      <c r="BU611" s="1"/>
      <c r="BV611" s="1"/>
      <c r="BW611" s="1"/>
      <c r="BX611" s="1"/>
      <c r="BY611" s="1"/>
      <c r="BZ611" s="1"/>
      <c r="CA611" s="1"/>
      <c r="CM611"/>
      <c r="CN611"/>
      <c r="CO611"/>
      <c r="CP611"/>
      <c r="CQ611"/>
      <c r="CR611"/>
    </row>
    <row r="612" spans="33:96">
      <c r="AG612" s="1"/>
      <c r="AH612" s="1"/>
      <c r="AI612" s="1"/>
      <c r="AJ612" s="1"/>
      <c r="AR612" s="1"/>
      <c r="AS612" s="1"/>
      <c r="AT612" s="1"/>
      <c r="AV612" s="1"/>
      <c r="BC612" s="1"/>
      <c r="BD612" s="1"/>
      <c r="BE612" s="1"/>
      <c r="BF612" s="1"/>
      <c r="BG612" s="1"/>
      <c r="BH612" s="1"/>
      <c r="BI612" s="1"/>
      <c r="BJ612" s="1"/>
      <c r="BK612" s="1"/>
      <c r="BL612" s="1"/>
      <c r="BM612" s="1"/>
      <c r="BN612" s="1"/>
      <c r="BO612" s="1"/>
      <c r="BP612" s="1"/>
      <c r="BQ612" s="1"/>
      <c r="BR612" s="1"/>
      <c r="BS612" s="1"/>
      <c r="BT612" s="1"/>
      <c r="BU612" s="1"/>
      <c r="BV612" s="1"/>
      <c r="BW612" s="1"/>
      <c r="BX612" s="1"/>
      <c r="BY612" s="1"/>
      <c r="BZ612" s="1"/>
      <c r="CA612" s="1"/>
      <c r="CM612"/>
      <c r="CN612"/>
      <c r="CO612"/>
      <c r="CP612"/>
      <c r="CQ612"/>
      <c r="CR612"/>
    </row>
    <row r="613" spans="33:96">
      <c r="AG613" s="1"/>
      <c r="AH613" s="1"/>
      <c r="AI613" s="1"/>
      <c r="AJ613" s="1"/>
      <c r="AR613" s="1"/>
      <c r="AS613" s="1"/>
      <c r="AT613" s="1"/>
      <c r="AV613" s="1"/>
      <c r="BC613" s="1"/>
      <c r="BD613" s="1"/>
      <c r="BE613" s="1"/>
      <c r="BF613" s="1"/>
      <c r="BG613" s="1"/>
      <c r="BH613" s="1"/>
      <c r="BI613" s="1"/>
      <c r="BJ613" s="1"/>
      <c r="BK613" s="1"/>
      <c r="BL613" s="1"/>
      <c r="BM613" s="1"/>
      <c r="BN613" s="1"/>
      <c r="BO613" s="1"/>
      <c r="BP613" s="1"/>
      <c r="BQ613" s="1"/>
      <c r="BR613" s="1"/>
      <c r="BS613" s="1"/>
      <c r="BT613" s="1"/>
      <c r="BU613" s="1"/>
      <c r="BV613" s="1"/>
      <c r="BW613" s="1"/>
      <c r="BX613" s="1"/>
      <c r="BY613" s="1"/>
      <c r="BZ613" s="1"/>
      <c r="CA613" s="1"/>
      <c r="CM613"/>
      <c r="CN613"/>
      <c r="CO613"/>
      <c r="CP613"/>
      <c r="CQ613"/>
      <c r="CR613"/>
    </row>
    <row r="614" spans="33:96">
      <c r="AG614" s="1"/>
      <c r="AH614" s="1"/>
      <c r="AI614" s="1"/>
      <c r="AJ614" s="1"/>
      <c r="AR614" s="1"/>
      <c r="AS614" s="1"/>
      <c r="AT614" s="1"/>
      <c r="AV614" s="1"/>
      <c r="BC614" s="1"/>
      <c r="BD614" s="1"/>
      <c r="BE614" s="1"/>
      <c r="BF614" s="1"/>
      <c r="BG614" s="1"/>
      <c r="BH614" s="1"/>
      <c r="BI614" s="1"/>
      <c r="BJ614" s="1"/>
      <c r="BK614" s="1"/>
      <c r="BL614" s="1"/>
      <c r="BM614" s="1"/>
      <c r="BN614" s="1"/>
      <c r="BO614" s="1"/>
      <c r="BP614" s="1"/>
      <c r="BQ614" s="1"/>
      <c r="BR614" s="1"/>
      <c r="BS614" s="1"/>
      <c r="BT614" s="1"/>
      <c r="BU614" s="1"/>
      <c r="BV614" s="1"/>
      <c r="BW614" s="1"/>
      <c r="BX614" s="1"/>
      <c r="BY614" s="1"/>
      <c r="BZ614" s="1"/>
      <c r="CA614" s="1"/>
      <c r="CM614"/>
      <c r="CN614"/>
      <c r="CO614"/>
      <c r="CP614"/>
      <c r="CQ614"/>
      <c r="CR614"/>
    </row>
    <row r="615" spans="33:96">
      <c r="AG615" s="1"/>
      <c r="AH615" s="1"/>
      <c r="AI615" s="1"/>
      <c r="AJ615" s="1"/>
      <c r="AR615" s="1"/>
      <c r="AS615" s="1"/>
      <c r="AT615" s="1"/>
      <c r="AV615" s="1"/>
      <c r="BC615" s="1"/>
      <c r="BD615" s="1"/>
      <c r="BE615" s="1"/>
      <c r="BF615" s="1"/>
      <c r="BG615" s="1"/>
      <c r="BH615" s="1"/>
      <c r="BI615" s="1"/>
      <c r="BJ615" s="1"/>
      <c r="BK615" s="1"/>
      <c r="BL615" s="1"/>
      <c r="BM615" s="1"/>
      <c r="BN615" s="1"/>
      <c r="BO615" s="1"/>
      <c r="BP615" s="1"/>
      <c r="BQ615" s="1"/>
      <c r="BR615" s="1"/>
      <c r="BS615" s="1"/>
      <c r="BT615" s="1"/>
      <c r="BU615" s="1"/>
      <c r="BV615" s="1"/>
      <c r="BW615" s="1"/>
      <c r="BX615" s="1"/>
      <c r="BY615" s="1"/>
      <c r="BZ615" s="1"/>
      <c r="CA615" s="1"/>
      <c r="CM615"/>
      <c r="CN615"/>
      <c r="CO615"/>
      <c r="CP615"/>
      <c r="CQ615"/>
      <c r="CR615"/>
    </row>
    <row r="616" spans="33:96">
      <c r="AG616" s="1"/>
      <c r="AH616" s="1"/>
      <c r="AI616" s="1"/>
      <c r="AJ616" s="1"/>
      <c r="AR616" s="1"/>
      <c r="AS616" s="1"/>
      <c r="AT616" s="1"/>
      <c r="AV616" s="1"/>
      <c r="BC616" s="1"/>
      <c r="BD616" s="1"/>
      <c r="BE616" s="1"/>
      <c r="BF616" s="1"/>
      <c r="BG616" s="1"/>
      <c r="BH616" s="1"/>
      <c r="BI616" s="1"/>
      <c r="BJ616" s="1"/>
      <c r="BK616" s="1"/>
      <c r="BL616" s="1"/>
      <c r="BM616" s="1"/>
      <c r="BN616" s="1"/>
      <c r="BO616" s="1"/>
      <c r="BP616" s="1"/>
      <c r="BQ616" s="1"/>
      <c r="BR616" s="1"/>
      <c r="BS616" s="1"/>
      <c r="BT616" s="1"/>
      <c r="BU616" s="1"/>
      <c r="BV616" s="1"/>
      <c r="BW616" s="1"/>
      <c r="BX616" s="1"/>
      <c r="BY616" s="1"/>
      <c r="BZ616" s="1"/>
      <c r="CA616" s="1"/>
      <c r="CM616"/>
      <c r="CN616"/>
      <c r="CO616"/>
      <c r="CP616"/>
      <c r="CQ616"/>
      <c r="CR616"/>
    </row>
    <row r="617" spans="33:96">
      <c r="AG617" s="1"/>
      <c r="AH617" s="1"/>
      <c r="AI617" s="1"/>
      <c r="AJ617" s="1"/>
      <c r="AR617" s="1"/>
      <c r="AS617" s="1"/>
      <c r="AT617" s="1"/>
      <c r="AV617" s="1"/>
      <c r="BC617" s="1"/>
      <c r="BD617" s="1"/>
      <c r="BE617" s="1"/>
      <c r="BF617" s="1"/>
      <c r="BG617" s="1"/>
      <c r="BH617" s="1"/>
      <c r="BI617" s="1"/>
      <c r="BJ617" s="1"/>
      <c r="BK617" s="1"/>
      <c r="BL617" s="1"/>
      <c r="BM617" s="1"/>
      <c r="BN617" s="1"/>
      <c r="BO617" s="1"/>
      <c r="BP617" s="1"/>
      <c r="BQ617" s="1"/>
      <c r="BR617" s="1"/>
      <c r="BS617" s="1"/>
      <c r="BT617" s="1"/>
      <c r="BU617" s="1"/>
      <c r="BV617" s="1"/>
      <c r="BW617" s="1"/>
      <c r="BX617" s="1"/>
      <c r="BY617" s="1"/>
      <c r="BZ617" s="1"/>
      <c r="CA617" s="1"/>
      <c r="CM617"/>
      <c r="CN617"/>
      <c r="CO617"/>
      <c r="CP617"/>
      <c r="CQ617"/>
      <c r="CR617"/>
    </row>
    <row r="618" spans="33:96">
      <c r="AG618" s="1"/>
      <c r="AH618" s="1"/>
      <c r="AI618" s="1"/>
      <c r="AJ618" s="1"/>
      <c r="AR618" s="1"/>
      <c r="AS618" s="1"/>
      <c r="AT618" s="1"/>
      <c r="AV618" s="1"/>
      <c r="BC618" s="1"/>
      <c r="BD618" s="1"/>
      <c r="BE618" s="1"/>
      <c r="BF618" s="1"/>
      <c r="BG618" s="1"/>
      <c r="BH618" s="1"/>
      <c r="BI618" s="1"/>
      <c r="BJ618" s="1"/>
      <c r="BK618" s="1"/>
      <c r="BL618" s="1"/>
      <c r="BM618" s="1"/>
      <c r="BN618" s="1"/>
      <c r="BO618" s="1"/>
      <c r="BP618" s="1"/>
      <c r="BQ618" s="1"/>
      <c r="BR618" s="1"/>
      <c r="BS618" s="1"/>
      <c r="BT618" s="1"/>
      <c r="BU618" s="1"/>
      <c r="BV618" s="1"/>
      <c r="BW618" s="1"/>
      <c r="BX618" s="1"/>
      <c r="BY618" s="1"/>
      <c r="BZ618" s="1"/>
      <c r="CA618" s="1"/>
      <c r="CM618"/>
      <c r="CN618"/>
      <c r="CO618"/>
      <c r="CP618"/>
      <c r="CQ618"/>
      <c r="CR618"/>
    </row>
    <row r="619" spans="33:96">
      <c r="AG619" s="1"/>
      <c r="AH619" s="1"/>
      <c r="AI619" s="1"/>
      <c r="AJ619" s="1"/>
      <c r="AR619" s="1"/>
      <c r="AS619" s="1"/>
      <c r="AT619" s="1"/>
      <c r="AV619" s="1"/>
      <c r="BC619" s="1"/>
      <c r="BD619" s="1"/>
      <c r="BE619" s="1"/>
      <c r="BF619" s="1"/>
      <c r="BG619" s="1"/>
      <c r="BH619" s="1"/>
      <c r="BI619" s="1"/>
      <c r="BJ619" s="1"/>
      <c r="BK619" s="1"/>
      <c r="BL619" s="1"/>
      <c r="BM619" s="1"/>
      <c r="BN619" s="1"/>
      <c r="BO619" s="1"/>
      <c r="BP619" s="1"/>
      <c r="BQ619" s="1"/>
      <c r="BR619" s="1"/>
      <c r="BS619" s="1"/>
      <c r="BT619" s="1"/>
      <c r="BU619" s="1"/>
      <c r="BV619" s="1"/>
      <c r="BW619" s="1"/>
      <c r="BX619" s="1"/>
      <c r="BY619" s="1"/>
      <c r="BZ619" s="1"/>
      <c r="CA619" s="1"/>
      <c r="CM619"/>
      <c r="CN619"/>
      <c r="CO619"/>
      <c r="CP619"/>
      <c r="CQ619"/>
      <c r="CR619"/>
    </row>
    <row r="620" spans="33:96">
      <c r="AG620" s="1"/>
      <c r="AH620" s="1"/>
      <c r="AI620" s="1"/>
      <c r="AJ620" s="1"/>
      <c r="AR620" s="1"/>
      <c r="AS620" s="1"/>
      <c r="AT620" s="1"/>
      <c r="AV620" s="1"/>
      <c r="BC620" s="1"/>
      <c r="BD620" s="1"/>
      <c r="BE620" s="1"/>
      <c r="BF620" s="1"/>
      <c r="BG620" s="1"/>
      <c r="BH620" s="1"/>
      <c r="BI620" s="1"/>
      <c r="BJ620" s="1"/>
      <c r="BK620" s="1"/>
      <c r="BL620" s="1"/>
      <c r="BM620" s="1"/>
      <c r="BN620" s="1"/>
      <c r="BO620" s="1"/>
      <c r="BP620" s="1"/>
      <c r="BQ620" s="1"/>
      <c r="BR620" s="1"/>
      <c r="BS620" s="1"/>
      <c r="BT620" s="1"/>
      <c r="BU620" s="1"/>
      <c r="BV620" s="1"/>
      <c r="BW620" s="1"/>
      <c r="BX620" s="1"/>
      <c r="BY620" s="1"/>
      <c r="BZ620" s="1"/>
      <c r="CA620" s="1"/>
      <c r="CM620"/>
      <c r="CN620"/>
      <c r="CO620"/>
      <c r="CP620"/>
      <c r="CQ620"/>
      <c r="CR620"/>
    </row>
    <row r="621" spans="33:96">
      <c r="AG621" s="1"/>
      <c r="AH621" s="1"/>
      <c r="AI621" s="1"/>
      <c r="AJ621" s="1"/>
      <c r="AR621" s="1"/>
      <c r="AS621" s="1"/>
      <c r="AT621" s="1"/>
      <c r="AV621" s="1"/>
      <c r="BC621" s="1"/>
      <c r="BD621" s="1"/>
      <c r="BE621" s="1"/>
      <c r="BF621" s="1"/>
      <c r="BG621" s="1"/>
      <c r="BH621" s="1"/>
      <c r="BI621" s="1"/>
      <c r="BJ621" s="1"/>
      <c r="BK621" s="1"/>
      <c r="BL621" s="1"/>
      <c r="BM621" s="1"/>
      <c r="BN621" s="1"/>
      <c r="BO621" s="1"/>
      <c r="BP621" s="1"/>
      <c r="BQ621" s="1"/>
      <c r="BR621" s="1"/>
      <c r="BS621" s="1"/>
      <c r="BT621" s="1"/>
      <c r="BU621" s="1"/>
      <c r="BV621" s="1"/>
      <c r="BW621" s="1"/>
      <c r="BX621" s="1"/>
      <c r="BY621" s="1"/>
      <c r="BZ621" s="1"/>
      <c r="CA621" s="1"/>
      <c r="CM621"/>
      <c r="CN621"/>
      <c r="CO621"/>
      <c r="CP621"/>
      <c r="CQ621"/>
      <c r="CR621"/>
    </row>
    <row r="622" spans="33:96">
      <c r="AG622" s="1"/>
      <c r="AH622" s="1"/>
      <c r="AI622" s="1"/>
      <c r="AJ622" s="1"/>
      <c r="AR622" s="1"/>
      <c r="AS622" s="1"/>
      <c r="AT622" s="1"/>
      <c r="AV622" s="1"/>
      <c r="BC622" s="1"/>
      <c r="BD622" s="1"/>
      <c r="BE622" s="1"/>
      <c r="BF622" s="1"/>
      <c r="BG622" s="1"/>
      <c r="BH622" s="1"/>
      <c r="BI622" s="1"/>
      <c r="BJ622" s="1"/>
      <c r="BK622" s="1"/>
      <c r="BL622" s="1"/>
      <c r="BM622" s="1"/>
      <c r="BN622" s="1"/>
      <c r="BO622" s="1"/>
      <c r="BP622" s="1"/>
      <c r="BQ622" s="1"/>
      <c r="BR622" s="1"/>
      <c r="BS622" s="1"/>
      <c r="BT622" s="1"/>
      <c r="BU622" s="1"/>
      <c r="BV622" s="1"/>
      <c r="BW622" s="1"/>
      <c r="BX622" s="1"/>
      <c r="BY622" s="1"/>
      <c r="BZ622" s="1"/>
      <c r="CA622" s="1"/>
      <c r="CM622"/>
      <c r="CN622"/>
      <c r="CO622"/>
      <c r="CP622"/>
      <c r="CQ622"/>
      <c r="CR622"/>
    </row>
    <row r="623" spans="33:96">
      <c r="AG623" s="1"/>
      <c r="AH623" s="1"/>
      <c r="AI623" s="1"/>
      <c r="AJ623" s="1"/>
      <c r="AR623" s="1"/>
      <c r="AS623" s="1"/>
      <c r="AT623" s="1"/>
      <c r="AV623" s="1"/>
      <c r="BC623" s="1"/>
      <c r="BD623" s="1"/>
      <c r="BE623" s="1"/>
      <c r="BF623" s="1"/>
      <c r="BG623" s="1"/>
      <c r="BH623" s="1"/>
      <c r="BI623" s="1"/>
      <c r="BJ623" s="1"/>
      <c r="BK623" s="1"/>
      <c r="BL623" s="1"/>
      <c r="BM623" s="1"/>
      <c r="BN623" s="1"/>
      <c r="BO623" s="1"/>
      <c r="BP623" s="1"/>
      <c r="BQ623" s="1"/>
      <c r="BR623" s="1"/>
      <c r="BS623" s="1"/>
      <c r="BT623" s="1"/>
      <c r="BU623" s="1"/>
      <c r="BV623" s="1"/>
      <c r="BW623" s="1"/>
      <c r="BX623" s="1"/>
      <c r="BY623" s="1"/>
      <c r="BZ623" s="1"/>
      <c r="CA623" s="1"/>
      <c r="CM623"/>
      <c r="CN623"/>
      <c r="CO623"/>
      <c r="CP623"/>
      <c r="CQ623"/>
      <c r="CR623"/>
    </row>
    <row r="624" spans="33:96">
      <c r="AG624" s="1"/>
      <c r="AH624" s="1"/>
      <c r="AI624" s="1"/>
      <c r="AJ624" s="1"/>
      <c r="AR624" s="1"/>
      <c r="AS624" s="1"/>
      <c r="AT624" s="1"/>
      <c r="AV624" s="1"/>
      <c r="BC624" s="1"/>
      <c r="BD624" s="1"/>
      <c r="BE624" s="1"/>
      <c r="BF624" s="1"/>
      <c r="BG624" s="1"/>
      <c r="BH624" s="1"/>
      <c r="BI624" s="1"/>
      <c r="BJ624" s="1"/>
      <c r="BK624" s="1"/>
      <c r="BL624" s="1"/>
      <c r="BM624" s="1"/>
      <c r="BN624" s="1"/>
      <c r="BO624" s="1"/>
      <c r="BP624" s="1"/>
      <c r="BQ624" s="1"/>
      <c r="BR624" s="1"/>
      <c r="BS624" s="1"/>
      <c r="BT624" s="1"/>
      <c r="BU624" s="1"/>
      <c r="BV624" s="1"/>
      <c r="BW624" s="1"/>
      <c r="BX624" s="1"/>
      <c r="BY624" s="1"/>
      <c r="BZ624" s="1"/>
      <c r="CA624" s="1"/>
      <c r="CM624"/>
      <c r="CN624"/>
      <c r="CO624"/>
      <c r="CP624"/>
      <c r="CQ624"/>
      <c r="CR624"/>
    </row>
    <row r="625" spans="33:96">
      <c r="AG625" s="1"/>
      <c r="AH625" s="1"/>
      <c r="AI625" s="1"/>
      <c r="AJ625" s="1"/>
      <c r="AR625" s="1"/>
      <c r="AS625" s="1"/>
      <c r="AT625" s="1"/>
      <c r="AV625" s="1"/>
      <c r="BC625" s="1"/>
      <c r="BD625" s="1"/>
      <c r="BE625" s="1"/>
      <c r="BF625" s="1"/>
      <c r="BG625" s="1"/>
      <c r="BH625" s="1"/>
      <c r="BI625" s="1"/>
      <c r="BJ625" s="1"/>
      <c r="BK625" s="1"/>
      <c r="BL625" s="1"/>
      <c r="BM625" s="1"/>
      <c r="BN625" s="1"/>
      <c r="BO625" s="1"/>
      <c r="BP625" s="1"/>
      <c r="BQ625" s="1"/>
      <c r="BR625" s="1"/>
      <c r="BS625" s="1"/>
      <c r="BT625" s="1"/>
      <c r="BU625" s="1"/>
      <c r="BV625" s="1"/>
      <c r="BW625" s="1"/>
      <c r="BX625" s="1"/>
      <c r="BY625" s="1"/>
      <c r="BZ625" s="1"/>
      <c r="CA625" s="1"/>
      <c r="CM625"/>
      <c r="CN625"/>
      <c r="CO625"/>
      <c r="CP625"/>
      <c r="CQ625"/>
      <c r="CR625"/>
    </row>
    <row r="626" spans="33:96">
      <c r="AG626" s="1"/>
      <c r="AH626" s="1"/>
      <c r="AI626" s="1"/>
      <c r="AJ626" s="1"/>
      <c r="AR626" s="1"/>
      <c r="AS626" s="1"/>
      <c r="AT626" s="1"/>
      <c r="AV626" s="1"/>
      <c r="BC626" s="1"/>
      <c r="BD626" s="1"/>
      <c r="BE626" s="1"/>
      <c r="BF626" s="1"/>
      <c r="BG626" s="1"/>
      <c r="BH626" s="1"/>
      <c r="BI626" s="1"/>
      <c r="BJ626" s="1"/>
      <c r="BK626" s="1"/>
      <c r="BL626" s="1"/>
      <c r="BM626" s="1"/>
      <c r="BN626" s="1"/>
      <c r="BO626" s="1"/>
      <c r="BP626" s="1"/>
      <c r="BQ626" s="1"/>
      <c r="BR626" s="1"/>
      <c r="BS626" s="1"/>
      <c r="BT626" s="1"/>
      <c r="BU626" s="1"/>
      <c r="BV626" s="1"/>
      <c r="BW626" s="1"/>
      <c r="BX626" s="1"/>
      <c r="BY626" s="1"/>
      <c r="BZ626" s="1"/>
      <c r="CA626" s="1"/>
      <c r="CM626"/>
      <c r="CN626"/>
      <c r="CO626"/>
      <c r="CP626"/>
      <c r="CQ626"/>
      <c r="CR626"/>
    </row>
    <row r="627" spans="33:96">
      <c r="AG627" s="1"/>
      <c r="AH627" s="1"/>
      <c r="AI627" s="1"/>
      <c r="AJ627" s="1"/>
      <c r="AR627" s="1"/>
      <c r="AS627" s="1"/>
      <c r="AT627" s="1"/>
      <c r="AV627" s="1"/>
      <c r="BC627" s="1"/>
      <c r="BD627" s="1"/>
      <c r="BE627" s="1"/>
      <c r="BF627" s="1"/>
      <c r="BG627" s="1"/>
      <c r="BH627" s="1"/>
      <c r="BI627" s="1"/>
      <c r="BJ627" s="1"/>
      <c r="BK627" s="1"/>
      <c r="BL627" s="1"/>
      <c r="BM627" s="1"/>
      <c r="BN627" s="1"/>
      <c r="BO627" s="1"/>
      <c r="BP627" s="1"/>
      <c r="BQ627" s="1"/>
      <c r="BR627" s="1"/>
      <c r="BS627" s="1"/>
      <c r="BT627" s="1"/>
      <c r="BU627" s="1"/>
      <c r="BV627" s="1"/>
      <c r="BW627" s="1"/>
      <c r="BX627" s="1"/>
      <c r="BY627" s="1"/>
      <c r="BZ627" s="1"/>
      <c r="CA627" s="1"/>
      <c r="CM627"/>
      <c r="CN627"/>
      <c r="CO627"/>
      <c r="CP627"/>
      <c r="CQ627"/>
      <c r="CR627"/>
    </row>
    <row r="628" spans="33:96">
      <c r="AG628" s="1"/>
      <c r="AH628" s="1"/>
      <c r="AI628" s="1"/>
      <c r="AJ628" s="1"/>
      <c r="AR628" s="1"/>
      <c r="AS628" s="1"/>
      <c r="AT628" s="1"/>
      <c r="AV628" s="1"/>
      <c r="BC628" s="1"/>
      <c r="BD628" s="1"/>
      <c r="BE628" s="1"/>
      <c r="BF628" s="1"/>
      <c r="BG628" s="1"/>
      <c r="BH628" s="1"/>
      <c r="BI628" s="1"/>
      <c r="BJ628" s="1"/>
      <c r="BK628" s="1"/>
      <c r="BL628" s="1"/>
      <c r="BM628" s="1"/>
      <c r="BN628" s="1"/>
      <c r="BO628" s="1"/>
      <c r="BP628" s="1"/>
      <c r="BQ628" s="1"/>
      <c r="BR628" s="1"/>
      <c r="BS628" s="1"/>
      <c r="BT628" s="1"/>
      <c r="BU628" s="1"/>
      <c r="BV628" s="1"/>
      <c r="BW628" s="1"/>
      <c r="BX628" s="1"/>
      <c r="BY628" s="1"/>
      <c r="BZ628" s="1"/>
      <c r="CA628" s="1"/>
      <c r="CM628"/>
      <c r="CN628"/>
      <c r="CO628"/>
      <c r="CP628"/>
      <c r="CQ628"/>
      <c r="CR628"/>
    </row>
    <row r="629" spans="33:96">
      <c r="AG629" s="1"/>
      <c r="AH629" s="1"/>
      <c r="AI629" s="1"/>
      <c r="AJ629" s="1"/>
      <c r="AR629" s="1"/>
      <c r="AS629" s="1"/>
      <c r="AT629" s="1"/>
      <c r="AV629" s="1"/>
      <c r="BC629" s="1"/>
      <c r="BD629" s="1"/>
      <c r="BE629" s="1"/>
      <c r="BF629" s="1"/>
      <c r="BG629" s="1"/>
      <c r="BH629" s="1"/>
      <c r="BI629" s="1"/>
      <c r="BJ629" s="1"/>
      <c r="BK629" s="1"/>
      <c r="BL629" s="1"/>
      <c r="BM629" s="1"/>
      <c r="BN629" s="1"/>
      <c r="BO629" s="1"/>
      <c r="BP629" s="1"/>
      <c r="BQ629" s="1"/>
      <c r="BR629" s="1"/>
      <c r="BS629" s="1"/>
      <c r="BT629" s="1"/>
      <c r="BU629" s="1"/>
      <c r="BV629" s="1"/>
      <c r="BW629" s="1"/>
      <c r="BX629" s="1"/>
      <c r="BY629" s="1"/>
      <c r="BZ629" s="1"/>
      <c r="CA629" s="1"/>
      <c r="CM629"/>
      <c r="CN629"/>
      <c r="CO629"/>
      <c r="CP629"/>
      <c r="CQ629"/>
      <c r="CR629"/>
    </row>
    <row r="630" spans="33:96">
      <c r="AG630" s="1"/>
      <c r="AH630" s="1"/>
      <c r="AI630" s="1"/>
      <c r="AJ630" s="1"/>
      <c r="AR630" s="1"/>
      <c r="AS630" s="1"/>
      <c r="AT630" s="1"/>
      <c r="AV630" s="1"/>
      <c r="BC630" s="1"/>
      <c r="BD630" s="1"/>
      <c r="BE630" s="1"/>
      <c r="BF630" s="1"/>
      <c r="BG630" s="1"/>
      <c r="BH630" s="1"/>
      <c r="BI630" s="1"/>
      <c r="BJ630" s="1"/>
      <c r="BK630" s="1"/>
      <c r="BL630" s="1"/>
      <c r="BM630" s="1"/>
      <c r="BN630" s="1"/>
      <c r="BO630" s="1"/>
      <c r="BP630" s="1"/>
      <c r="BQ630" s="1"/>
      <c r="BR630" s="1"/>
      <c r="BS630" s="1"/>
      <c r="BT630" s="1"/>
      <c r="BU630" s="1"/>
      <c r="BV630" s="1"/>
      <c r="BW630" s="1"/>
      <c r="BX630" s="1"/>
      <c r="BY630" s="1"/>
      <c r="BZ630" s="1"/>
      <c r="CA630" s="1"/>
      <c r="CM630"/>
      <c r="CN630"/>
      <c r="CO630"/>
      <c r="CP630"/>
      <c r="CQ630"/>
      <c r="CR630"/>
    </row>
    <row r="631" spans="33:96">
      <c r="AG631" s="1"/>
      <c r="AH631" s="1"/>
      <c r="AI631" s="1"/>
      <c r="AJ631" s="1"/>
      <c r="AR631" s="1"/>
      <c r="AS631" s="1"/>
      <c r="AT631" s="1"/>
      <c r="AV631" s="1"/>
      <c r="BC631" s="1"/>
      <c r="BD631" s="1"/>
      <c r="BE631" s="1"/>
      <c r="BF631" s="1"/>
      <c r="BG631" s="1"/>
      <c r="BH631" s="1"/>
      <c r="BI631" s="1"/>
      <c r="BJ631" s="1"/>
      <c r="BK631" s="1"/>
      <c r="BL631" s="1"/>
      <c r="BM631" s="1"/>
      <c r="BN631" s="1"/>
      <c r="BO631" s="1"/>
      <c r="BP631" s="1"/>
      <c r="BQ631" s="1"/>
      <c r="BR631" s="1"/>
      <c r="BS631" s="1"/>
      <c r="BT631" s="1"/>
      <c r="BU631" s="1"/>
      <c r="BV631" s="1"/>
      <c r="BW631" s="1"/>
      <c r="BX631" s="1"/>
      <c r="BY631" s="1"/>
      <c r="BZ631" s="1"/>
      <c r="CA631" s="1"/>
      <c r="CM631"/>
      <c r="CN631"/>
      <c r="CO631"/>
      <c r="CP631"/>
      <c r="CQ631"/>
      <c r="CR631"/>
    </row>
    <row r="632" spans="33:96">
      <c r="AG632" s="1"/>
      <c r="AH632" s="1"/>
      <c r="AI632" s="1"/>
      <c r="AJ632" s="1"/>
      <c r="AR632" s="1"/>
      <c r="AS632" s="1"/>
      <c r="AT632" s="1"/>
      <c r="AV632" s="1"/>
      <c r="BC632" s="1"/>
      <c r="BD632" s="1"/>
      <c r="BE632" s="1"/>
      <c r="BF632" s="1"/>
      <c r="BG632" s="1"/>
      <c r="BH632" s="1"/>
      <c r="BI632" s="1"/>
      <c r="BJ632" s="1"/>
      <c r="BK632" s="1"/>
      <c r="BL632" s="1"/>
      <c r="BM632" s="1"/>
      <c r="BN632" s="1"/>
      <c r="BO632" s="1"/>
      <c r="BP632" s="1"/>
      <c r="BQ632" s="1"/>
      <c r="BR632" s="1"/>
      <c r="BS632" s="1"/>
      <c r="BT632" s="1"/>
      <c r="BU632" s="1"/>
      <c r="BV632" s="1"/>
      <c r="BW632" s="1"/>
      <c r="BX632" s="1"/>
      <c r="BY632" s="1"/>
      <c r="BZ632" s="1"/>
      <c r="CA632" s="1"/>
      <c r="CM632"/>
      <c r="CN632"/>
      <c r="CO632"/>
      <c r="CP632"/>
      <c r="CQ632"/>
      <c r="CR632"/>
    </row>
    <row r="633" spans="33:96">
      <c r="AG633" s="1"/>
      <c r="AH633" s="1"/>
      <c r="AI633" s="1"/>
      <c r="AJ633" s="1"/>
      <c r="AR633" s="1"/>
      <c r="AS633" s="1"/>
      <c r="AT633" s="1"/>
      <c r="AV633" s="1"/>
      <c r="BC633" s="1"/>
      <c r="BD633" s="1"/>
      <c r="BE633" s="1"/>
      <c r="BF633" s="1"/>
      <c r="BG633" s="1"/>
      <c r="BH633" s="1"/>
      <c r="BI633" s="1"/>
      <c r="BJ633" s="1"/>
      <c r="BK633" s="1"/>
      <c r="BL633" s="1"/>
      <c r="BM633" s="1"/>
      <c r="BN633" s="1"/>
      <c r="BO633" s="1"/>
      <c r="BP633" s="1"/>
      <c r="BQ633" s="1"/>
      <c r="BR633" s="1"/>
      <c r="BS633" s="1"/>
      <c r="BT633" s="1"/>
      <c r="BU633" s="1"/>
      <c r="BV633" s="1"/>
      <c r="BW633" s="1"/>
      <c r="BX633" s="1"/>
      <c r="BY633" s="1"/>
      <c r="BZ633" s="1"/>
      <c r="CA633" s="1"/>
      <c r="CM633"/>
      <c r="CN633"/>
      <c r="CO633"/>
      <c r="CP633"/>
      <c r="CQ633"/>
      <c r="CR633"/>
    </row>
    <row r="634" spans="33:96">
      <c r="AG634" s="1"/>
      <c r="AH634" s="1"/>
      <c r="AI634" s="1"/>
      <c r="AJ634" s="1"/>
      <c r="AR634" s="1"/>
      <c r="AS634" s="1"/>
      <c r="AT634" s="1"/>
      <c r="AV634" s="1"/>
      <c r="BC634" s="1"/>
      <c r="BD634" s="1"/>
      <c r="BE634" s="1"/>
      <c r="BF634" s="1"/>
      <c r="BG634" s="1"/>
      <c r="BH634" s="1"/>
      <c r="BI634" s="1"/>
      <c r="BJ634" s="1"/>
      <c r="BK634" s="1"/>
      <c r="BL634" s="1"/>
      <c r="BM634" s="1"/>
      <c r="BN634" s="1"/>
      <c r="BO634" s="1"/>
      <c r="BP634" s="1"/>
      <c r="BQ634" s="1"/>
      <c r="BR634" s="1"/>
      <c r="BS634" s="1"/>
      <c r="BT634" s="1"/>
      <c r="BU634" s="1"/>
      <c r="BV634" s="1"/>
      <c r="BW634" s="1"/>
      <c r="BX634" s="1"/>
      <c r="BY634" s="1"/>
      <c r="BZ634" s="1"/>
      <c r="CA634" s="1"/>
      <c r="CM634"/>
      <c r="CN634"/>
      <c r="CO634"/>
      <c r="CP634"/>
      <c r="CQ634"/>
      <c r="CR634"/>
    </row>
    <row r="635" spans="33:96">
      <c r="AG635" s="1"/>
      <c r="AH635" s="1"/>
      <c r="AI635" s="1"/>
      <c r="AJ635" s="1"/>
      <c r="AR635" s="1"/>
      <c r="AS635" s="1"/>
      <c r="AT635" s="1"/>
      <c r="AV635" s="1"/>
      <c r="BC635" s="1"/>
      <c r="BD635" s="1"/>
      <c r="BE635" s="1"/>
      <c r="BF635" s="1"/>
      <c r="BG635" s="1"/>
      <c r="BH635" s="1"/>
      <c r="BI635" s="1"/>
      <c r="BJ635" s="1"/>
      <c r="BK635" s="1"/>
      <c r="BL635" s="1"/>
      <c r="BM635" s="1"/>
      <c r="BN635" s="1"/>
      <c r="BO635" s="1"/>
      <c r="BP635" s="1"/>
      <c r="BQ635" s="1"/>
      <c r="BR635" s="1"/>
      <c r="BS635" s="1"/>
      <c r="BT635" s="1"/>
      <c r="BU635" s="1"/>
      <c r="BV635" s="1"/>
      <c r="BW635" s="1"/>
      <c r="BX635" s="1"/>
      <c r="BY635" s="1"/>
      <c r="BZ635" s="1"/>
      <c r="CA635" s="1"/>
      <c r="CM635"/>
      <c r="CN635"/>
      <c r="CO635"/>
      <c r="CP635"/>
      <c r="CQ635"/>
      <c r="CR635"/>
    </row>
  </sheetData>
  <mergeCells count="11">
    <mergeCell ref="AJ1:AQ1"/>
    <mergeCell ref="CB1:CL1"/>
    <mergeCell ref="CS1:CZ1"/>
    <mergeCell ref="CM1:CQ1"/>
    <mergeCell ref="BD35:BE37"/>
    <mergeCell ref="CC39:CD39"/>
    <mergeCell ref="CC35:CD35"/>
    <mergeCell ref="CC38:CD38"/>
    <mergeCell ref="CC37:CD37"/>
    <mergeCell ref="AR1:BB1"/>
    <mergeCell ref="BC1:BL1"/>
  </mergeCells>
  <printOptions horizontalCentered="1"/>
  <pageMargins left="0.39370078740157483" right="0.39370078740157483" top="0" bottom="0" header="0.31496062992125984" footer="0.31496062992125984"/>
  <pageSetup scale="29" orientation="landscape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68"/>
  <sheetViews>
    <sheetView zoomScale="85" zoomScaleNormal="85" workbookViewId="0">
      <pane xSplit="1" ySplit="3" topLeftCell="B25" activePane="bottomRight" state="frozen"/>
      <selection pane="topRight" activeCell="B1" sqref="B1"/>
      <selection pane="bottomLeft" activeCell="A3" sqref="A3"/>
      <selection pane="bottomRight" sqref="A1:Q36"/>
    </sheetView>
  </sheetViews>
  <sheetFormatPr defaultRowHeight="14.4"/>
  <cols>
    <col min="1" max="1" width="16.5546875" bestFit="1" customWidth="1"/>
    <col min="2" max="2" width="12.44140625" customWidth="1"/>
    <col min="3" max="3" width="10.33203125" style="138" bestFit="1" customWidth="1"/>
    <col min="4" max="4" width="12.44140625" customWidth="1"/>
    <col min="5" max="5" width="16.88671875" customWidth="1"/>
    <col min="6" max="6" width="13.88671875" customWidth="1"/>
    <col min="7" max="7" width="17.77734375" customWidth="1"/>
    <col min="8" max="8" width="16.33203125" customWidth="1"/>
    <col min="9" max="11" width="13.88671875" customWidth="1"/>
    <col min="12" max="15" width="13.88671875" style="104" customWidth="1"/>
    <col min="16" max="16" width="15.21875" customWidth="1"/>
    <col min="17" max="17" width="17.21875" customWidth="1"/>
  </cols>
  <sheetData>
    <row r="1" spans="1:21" s="85" customFormat="1" ht="31.2" customHeight="1" thickBot="1">
      <c r="A1" s="328" t="s">
        <v>154</v>
      </c>
      <c r="B1" s="329"/>
      <c r="C1" s="329"/>
      <c r="D1" s="329"/>
      <c r="E1" s="329"/>
      <c r="F1" s="329"/>
      <c r="G1" s="329"/>
      <c r="H1" s="329"/>
      <c r="I1" s="329"/>
      <c r="J1" s="329"/>
      <c r="K1" s="330"/>
      <c r="L1" s="329" t="s">
        <v>110</v>
      </c>
      <c r="M1" s="329"/>
      <c r="N1" s="329"/>
      <c r="O1" s="329"/>
      <c r="P1" s="329"/>
      <c r="Q1" s="330"/>
    </row>
    <row r="2" spans="1:21" ht="30" customHeight="1" thickBot="1">
      <c r="A2" s="253"/>
      <c r="B2" s="323" t="s">
        <v>98</v>
      </c>
      <c r="C2" s="324"/>
      <c r="D2" s="324"/>
      <c r="E2" s="325"/>
      <c r="F2" s="326" t="s">
        <v>94</v>
      </c>
      <c r="G2" s="326"/>
      <c r="H2" s="326"/>
      <c r="I2" s="327"/>
      <c r="J2" s="331" t="s">
        <v>95</v>
      </c>
      <c r="K2" s="332"/>
      <c r="L2" s="337" t="s">
        <v>53</v>
      </c>
      <c r="M2" s="338"/>
      <c r="N2" s="337" t="s">
        <v>54</v>
      </c>
      <c r="O2" s="338"/>
      <c r="P2" s="335" t="s">
        <v>109</v>
      </c>
      <c r="Q2" s="336"/>
    </row>
    <row r="3" spans="1:21" ht="30" customHeight="1" thickBot="1">
      <c r="A3" s="254" t="s">
        <v>25</v>
      </c>
      <c r="B3" s="262" t="s">
        <v>59</v>
      </c>
      <c r="C3" s="163" t="s">
        <v>71</v>
      </c>
      <c r="D3" s="163" t="s">
        <v>65</v>
      </c>
      <c r="E3" s="263" t="s">
        <v>72</v>
      </c>
      <c r="F3" s="258" t="s">
        <v>59</v>
      </c>
      <c r="G3" s="75" t="s">
        <v>71</v>
      </c>
      <c r="H3" s="75" t="s">
        <v>65</v>
      </c>
      <c r="I3" s="105" t="s">
        <v>72</v>
      </c>
      <c r="J3" s="106" t="s">
        <v>65</v>
      </c>
      <c r="K3" s="215" t="s">
        <v>72</v>
      </c>
      <c r="L3" s="231" t="s">
        <v>59</v>
      </c>
      <c r="M3" s="232" t="s">
        <v>71</v>
      </c>
      <c r="N3" s="231" t="s">
        <v>65</v>
      </c>
      <c r="O3" s="232" t="s">
        <v>72</v>
      </c>
      <c r="P3" s="233" t="s">
        <v>4</v>
      </c>
      <c r="Q3" s="234" t="s">
        <v>31</v>
      </c>
      <c r="R3" t="s">
        <v>155</v>
      </c>
      <c r="S3" t="s">
        <v>156</v>
      </c>
      <c r="T3" t="s">
        <v>157</v>
      </c>
      <c r="U3" t="s">
        <v>158</v>
      </c>
    </row>
    <row r="4" spans="1:21" ht="30" customHeight="1">
      <c r="A4" s="255">
        <v>46113</v>
      </c>
      <c r="B4" s="264">
        <v>30</v>
      </c>
      <c r="C4" s="164">
        <v>915.27</v>
      </c>
      <c r="D4" s="164"/>
      <c r="E4" s="265"/>
      <c r="F4" s="259"/>
      <c r="G4" s="108"/>
      <c r="H4" s="108"/>
      <c r="I4" s="109"/>
      <c r="J4" s="110"/>
      <c r="K4" s="216"/>
      <c r="L4" s="228">
        <f>+B4+F4</f>
        <v>30</v>
      </c>
      <c r="M4" s="229">
        <f>+C4+G4</f>
        <v>915.27</v>
      </c>
      <c r="N4" s="228">
        <f>+D4+H4+J4</f>
        <v>0</v>
      </c>
      <c r="O4" s="229">
        <f>+E4+I4+K4</f>
        <v>0</v>
      </c>
      <c r="P4" s="225">
        <f t="shared" ref="P4:P34" si="0">L4+N4</f>
        <v>30</v>
      </c>
      <c r="Q4" s="230">
        <f>+M4+O4</f>
        <v>915.27</v>
      </c>
      <c r="R4" s="19"/>
      <c r="S4">
        <v>91.527000000000001</v>
      </c>
    </row>
    <row r="5" spans="1:21" ht="30" customHeight="1">
      <c r="A5" s="255">
        <f t="shared" ref="A5:A33" si="1">+A4+1</f>
        <v>46114</v>
      </c>
      <c r="B5" s="264">
        <v>7</v>
      </c>
      <c r="C5" s="164">
        <v>213.98</v>
      </c>
      <c r="D5" s="164"/>
      <c r="E5" s="265"/>
      <c r="F5" s="259"/>
      <c r="G5" s="108"/>
      <c r="H5" s="108"/>
      <c r="I5" s="109"/>
      <c r="J5" s="110"/>
      <c r="K5" s="216"/>
      <c r="L5" s="228">
        <f t="shared" ref="L5:L34" si="2">+B5+F5</f>
        <v>7</v>
      </c>
      <c r="M5" s="229">
        <f t="shared" ref="M5:M34" si="3">+C5+G5</f>
        <v>213.98</v>
      </c>
      <c r="N5" s="228">
        <f t="shared" ref="N5:N34" si="4">+D5+H5+J5</f>
        <v>0</v>
      </c>
      <c r="O5" s="229">
        <f t="shared" ref="O5:O34" si="5">+E5+I5+K5</f>
        <v>0</v>
      </c>
      <c r="P5" s="225">
        <f t="shared" si="0"/>
        <v>7</v>
      </c>
      <c r="Q5" s="212">
        <f t="shared" ref="Q5:Q34" si="6">+M5+O5</f>
        <v>213.98</v>
      </c>
      <c r="R5" s="19"/>
      <c r="S5">
        <v>213.98</v>
      </c>
    </row>
    <row r="6" spans="1:21" ht="30" customHeight="1">
      <c r="A6" s="256">
        <f t="shared" si="1"/>
        <v>46115</v>
      </c>
      <c r="B6" s="264">
        <v>22</v>
      </c>
      <c r="C6" s="164">
        <v>686.42</v>
      </c>
      <c r="D6" s="165"/>
      <c r="E6" s="267"/>
      <c r="F6" s="260"/>
      <c r="G6" s="111"/>
      <c r="H6" s="111"/>
      <c r="I6" s="112"/>
      <c r="J6" s="113"/>
      <c r="K6" s="217"/>
      <c r="L6" s="228">
        <f t="shared" si="2"/>
        <v>22</v>
      </c>
      <c r="M6" s="229">
        <f t="shared" si="3"/>
        <v>686.42</v>
      </c>
      <c r="N6" s="228">
        <f t="shared" si="4"/>
        <v>0</v>
      </c>
      <c r="O6" s="229">
        <f t="shared" si="5"/>
        <v>0</v>
      </c>
      <c r="P6" s="225">
        <f t="shared" si="0"/>
        <v>22</v>
      </c>
      <c r="Q6" s="212">
        <f t="shared" si="6"/>
        <v>686.42</v>
      </c>
      <c r="R6" s="19"/>
    </row>
    <row r="7" spans="1:21" ht="30" customHeight="1">
      <c r="A7" s="255">
        <f t="shared" si="1"/>
        <v>46116</v>
      </c>
      <c r="B7" s="266">
        <v>66</v>
      </c>
      <c r="C7" s="165">
        <v>2025.33</v>
      </c>
      <c r="D7" s="165"/>
      <c r="E7" s="267"/>
      <c r="F7" s="260">
        <v>18</v>
      </c>
      <c r="G7" s="111">
        <v>566.89</v>
      </c>
      <c r="H7" s="111"/>
      <c r="I7" s="112"/>
      <c r="J7" s="113"/>
      <c r="K7" s="217"/>
      <c r="L7" s="228">
        <f t="shared" si="2"/>
        <v>84</v>
      </c>
      <c r="M7" s="229">
        <f t="shared" si="3"/>
        <v>2592.2199999999998</v>
      </c>
      <c r="N7" s="228">
        <f t="shared" si="4"/>
        <v>0</v>
      </c>
      <c r="O7" s="229">
        <f t="shared" si="5"/>
        <v>0</v>
      </c>
      <c r="P7" s="225">
        <f t="shared" si="0"/>
        <v>84</v>
      </c>
      <c r="Q7" s="212">
        <f t="shared" si="6"/>
        <v>2592.2199999999998</v>
      </c>
      <c r="R7" s="54"/>
    </row>
    <row r="8" spans="1:21" ht="30" customHeight="1">
      <c r="A8" s="256">
        <f t="shared" si="1"/>
        <v>46117</v>
      </c>
      <c r="B8" s="266"/>
      <c r="C8" s="165"/>
      <c r="D8" s="165"/>
      <c r="E8" s="267"/>
      <c r="F8" s="260"/>
      <c r="G8" s="111"/>
      <c r="H8" s="111"/>
      <c r="I8" s="112"/>
      <c r="J8" s="113"/>
      <c r="K8" s="217"/>
      <c r="L8" s="228">
        <f t="shared" si="2"/>
        <v>0</v>
      </c>
      <c r="M8" s="229">
        <f t="shared" si="3"/>
        <v>0</v>
      </c>
      <c r="N8" s="228">
        <f t="shared" si="4"/>
        <v>0</v>
      </c>
      <c r="O8" s="229">
        <f t="shared" si="5"/>
        <v>0</v>
      </c>
      <c r="P8" s="225">
        <f t="shared" si="0"/>
        <v>0</v>
      </c>
      <c r="Q8" s="212">
        <f t="shared" si="6"/>
        <v>0</v>
      </c>
    </row>
    <row r="9" spans="1:21" ht="30" customHeight="1">
      <c r="A9" s="255">
        <f t="shared" si="1"/>
        <v>46118</v>
      </c>
      <c r="B9" s="266">
        <v>56</v>
      </c>
      <c r="C9" s="165">
        <f>2005.79-300.42</f>
        <v>1705.37</v>
      </c>
      <c r="D9" s="165"/>
      <c r="E9" s="267"/>
      <c r="F9" s="260">
        <v>10</v>
      </c>
      <c r="G9" s="111">
        <v>300.42</v>
      </c>
      <c r="H9" s="111"/>
      <c r="I9" s="112"/>
      <c r="J9" s="113"/>
      <c r="K9" s="217"/>
      <c r="L9" s="228">
        <f t="shared" si="2"/>
        <v>66</v>
      </c>
      <c r="M9" s="229">
        <f t="shared" si="3"/>
        <v>2005.79</v>
      </c>
      <c r="N9" s="228">
        <f t="shared" si="4"/>
        <v>0</v>
      </c>
      <c r="O9" s="229">
        <f t="shared" si="5"/>
        <v>0</v>
      </c>
      <c r="P9" s="225">
        <f t="shared" si="0"/>
        <v>66</v>
      </c>
      <c r="Q9" s="212">
        <f t="shared" si="6"/>
        <v>2005.79</v>
      </c>
    </row>
    <row r="10" spans="1:21" ht="30" customHeight="1">
      <c r="A10" s="256">
        <f t="shared" si="1"/>
        <v>46119</v>
      </c>
      <c r="B10" s="266">
        <v>26</v>
      </c>
      <c r="C10" s="165">
        <f>1032.64-302.3</f>
        <v>730.34000000000015</v>
      </c>
      <c r="D10" s="165"/>
      <c r="E10" s="267"/>
      <c r="F10" s="260">
        <v>11</v>
      </c>
      <c r="G10" s="111">
        <v>302.3</v>
      </c>
      <c r="H10" s="111"/>
      <c r="I10" s="112"/>
      <c r="J10" s="113"/>
      <c r="K10" s="217"/>
      <c r="L10" s="228">
        <f t="shared" si="2"/>
        <v>37</v>
      </c>
      <c r="M10" s="229">
        <f t="shared" si="3"/>
        <v>1032.6400000000001</v>
      </c>
      <c r="N10" s="228">
        <f t="shared" si="4"/>
        <v>0</v>
      </c>
      <c r="O10" s="229">
        <f t="shared" si="5"/>
        <v>0</v>
      </c>
      <c r="P10" s="225">
        <f t="shared" si="0"/>
        <v>37</v>
      </c>
      <c r="Q10" s="212">
        <f t="shared" si="6"/>
        <v>1032.6400000000001</v>
      </c>
    </row>
    <row r="11" spans="1:21" ht="30" customHeight="1">
      <c r="A11" s="255">
        <f t="shared" si="1"/>
        <v>46120</v>
      </c>
      <c r="B11" s="266">
        <v>16</v>
      </c>
      <c r="C11" s="165">
        <v>452.32</v>
      </c>
      <c r="D11" s="165"/>
      <c r="E11" s="267"/>
      <c r="F11" s="260">
        <v>7</v>
      </c>
      <c r="G11" s="111">
        <v>203.78</v>
      </c>
      <c r="H11" s="111"/>
      <c r="I11" s="112"/>
      <c r="J11" s="113"/>
      <c r="K11" s="217"/>
      <c r="L11" s="228">
        <f t="shared" si="2"/>
        <v>23</v>
      </c>
      <c r="M11" s="229">
        <f t="shared" si="3"/>
        <v>656.1</v>
      </c>
      <c r="N11" s="228">
        <f t="shared" si="4"/>
        <v>0</v>
      </c>
      <c r="O11" s="229">
        <f t="shared" si="5"/>
        <v>0</v>
      </c>
      <c r="P11" s="225">
        <f t="shared" si="0"/>
        <v>23</v>
      </c>
      <c r="Q11" s="212">
        <f t="shared" si="6"/>
        <v>656.1</v>
      </c>
    </row>
    <row r="12" spans="1:21" ht="30" customHeight="1">
      <c r="A12" s="256">
        <f t="shared" si="1"/>
        <v>46121</v>
      </c>
      <c r="B12" s="266">
        <v>0</v>
      </c>
      <c r="C12" s="165">
        <v>0</v>
      </c>
      <c r="D12" s="165"/>
      <c r="E12" s="267"/>
      <c r="F12" s="260">
        <v>0</v>
      </c>
      <c r="G12" s="111">
        <v>0</v>
      </c>
      <c r="H12" s="111"/>
      <c r="I12" s="112"/>
      <c r="J12" s="113"/>
      <c r="K12" s="217"/>
      <c r="L12" s="228">
        <f t="shared" si="2"/>
        <v>0</v>
      </c>
      <c r="M12" s="229">
        <f t="shared" si="3"/>
        <v>0</v>
      </c>
      <c r="N12" s="228">
        <f t="shared" si="4"/>
        <v>0</v>
      </c>
      <c r="O12" s="229">
        <f t="shared" si="5"/>
        <v>0</v>
      </c>
      <c r="P12" s="225">
        <f t="shared" si="0"/>
        <v>0</v>
      </c>
      <c r="Q12" s="212">
        <f t="shared" si="6"/>
        <v>0</v>
      </c>
    </row>
    <row r="13" spans="1:21" ht="30" customHeight="1">
      <c r="A13" s="255">
        <f t="shared" si="1"/>
        <v>46122</v>
      </c>
      <c r="B13" s="266"/>
      <c r="C13" s="165"/>
      <c r="D13" s="165">
        <v>30</v>
      </c>
      <c r="E13" s="268">
        <v>1003.92</v>
      </c>
      <c r="F13" s="261">
        <v>0</v>
      </c>
      <c r="G13" s="114">
        <v>0</v>
      </c>
      <c r="H13" s="114">
        <v>16</v>
      </c>
      <c r="I13" s="115">
        <v>516.79999999999995</v>
      </c>
      <c r="J13" s="116">
        <v>45</v>
      </c>
      <c r="K13" s="218">
        <v>1420.38</v>
      </c>
      <c r="L13" s="228">
        <f t="shared" si="2"/>
        <v>0</v>
      </c>
      <c r="M13" s="229">
        <f t="shared" si="3"/>
        <v>0</v>
      </c>
      <c r="N13" s="228">
        <f t="shared" si="4"/>
        <v>91</v>
      </c>
      <c r="O13" s="229">
        <f t="shared" si="5"/>
        <v>2941.1</v>
      </c>
      <c r="P13" s="225">
        <f t="shared" si="0"/>
        <v>91</v>
      </c>
      <c r="Q13" s="212">
        <f t="shared" si="6"/>
        <v>2941.1</v>
      </c>
    </row>
    <row r="14" spans="1:21" ht="30" customHeight="1">
      <c r="A14" s="256">
        <f t="shared" si="1"/>
        <v>46123</v>
      </c>
      <c r="B14" s="266">
        <v>83</v>
      </c>
      <c r="C14" s="165">
        <v>2472.62</v>
      </c>
      <c r="D14" s="165"/>
      <c r="E14" s="268"/>
      <c r="F14" s="261">
        <v>10</v>
      </c>
      <c r="G14" s="114">
        <v>318.3</v>
      </c>
      <c r="H14" s="114"/>
      <c r="I14" s="115"/>
      <c r="J14" s="116"/>
      <c r="K14" s="218"/>
      <c r="L14" s="228">
        <f t="shared" si="2"/>
        <v>93</v>
      </c>
      <c r="M14" s="229">
        <f t="shared" si="3"/>
        <v>2790.92</v>
      </c>
      <c r="N14" s="228">
        <f t="shared" si="4"/>
        <v>0</v>
      </c>
      <c r="O14" s="229">
        <f t="shared" si="5"/>
        <v>0</v>
      </c>
      <c r="P14" s="225">
        <f t="shared" si="0"/>
        <v>93</v>
      </c>
      <c r="Q14" s="212">
        <f t="shared" si="6"/>
        <v>2790.92</v>
      </c>
    </row>
    <row r="15" spans="1:21" ht="30" customHeight="1">
      <c r="A15" s="255">
        <f t="shared" si="1"/>
        <v>46124</v>
      </c>
      <c r="B15" s="266"/>
      <c r="C15" s="165"/>
      <c r="D15" s="165"/>
      <c r="E15" s="268"/>
      <c r="F15" s="261"/>
      <c r="G15" s="114"/>
      <c r="H15" s="114"/>
      <c r="I15" s="115"/>
      <c r="J15" s="116"/>
      <c r="K15" s="218"/>
      <c r="L15" s="228">
        <f t="shared" si="2"/>
        <v>0</v>
      </c>
      <c r="M15" s="229">
        <f t="shared" si="3"/>
        <v>0</v>
      </c>
      <c r="N15" s="228">
        <f t="shared" si="4"/>
        <v>0</v>
      </c>
      <c r="O15" s="229">
        <f t="shared" si="5"/>
        <v>0</v>
      </c>
      <c r="P15" s="225">
        <f t="shared" si="0"/>
        <v>0</v>
      </c>
      <c r="Q15" s="212">
        <f t="shared" si="6"/>
        <v>0</v>
      </c>
    </row>
    <row r="16" spans="1:21" ht="30" customHeight="1">
      <c r="A16" s="256">
        <f t="shared" si="1"/>
        <v>46125</v>
      </c>
      <c r="B16" s="266"/>
      <c r="C16" s="165"/>
      <c r="D16" s="165">
        <v>23</v>
      </c>
      <c r="E16" s="268">
        <v>782.24</v>
      </c>
      <c r="F16" s="261"/>
      <c r="G16" s="114"/>
      <c r="H16" s="114">
        <v>16</v>
      </c>
      <c r="I16" s="115">
        <v>542.19000000000005</v>
      </c>
      <c r="J16" s="116">
        <v>38</v>
      </c>
      <c r="K16" s="218">
        <v>1227.71</v>
      </c>
      <c r="L16" s="228">
        <f t="shared" si="2"/>
        <v>0</v>
      </c>
      <c r="M16" s="229">
        <f t="shared" si="3"/>
        <v>0</v>
      </c>
      <c r="N16" s="228">
        <f t="shared" si="4"/>
        <v>77</v>
      </c>
      <c r="O16" s="229">
        <f t="shared" si="5"/>
        <v>2552.1400000000003</v>
      </c>
      <c r="P16" s="225">
        <f t="shared" si="0"/>
        <v>77</v>
      </c>
      <c r="Q16" s="212">
        <f t="shared" si="6"/>
        <v>2552.1400000000003</v>
      </c>
    </row>
    <row r="17" spans="1:17" ht="30" customHeight="1">
      <c r="A17" s="255">
        <f t="shared" si="1"/>
        <v>46126</v>
      </c>
      <c r="B17" s="266">
        <v>49</v>
      </c>
      <c r="C17" s="165">
        <v>1510.54</v>
      </c>
      <c r="D17" s="165">
        <v>20</v>
      </c>
      <c r="E17" s="268">
        <v>642.34</v>
      </c>
      <c r="F17" s="261">
        <v>16</v>
      </c>
      <c r="G17" s="114">
        <v>478.06</v>
      </c>
      <c r="H17" s="114">
        <v>0</v>
      </c>
      <c r="I17" s="115">
        <v>0</v>
      </c>
      <c r="J17" s="116">
        <v>20</v>
      </c>
      <c r="K17" s="218">
        <v>653.07000000000005</v>
      </c>
      <c r="L17" s="228">
        <f t="shared" si="2"/>
        <v>65</v>
      </c>
      <c r="M17" s="229">
        <f t="shared" si="3"/>
        <v>1988.6</v>
      </c>
      <c r="N17" s="228">
        <f t="shared" si="4"/>
        <v>40</v>
      </c>
      <c r="O17" s="229">
        <f t="shared" si="5"/>
        <v>1295.4100000000001</v>
      </c>
      <c r="P17" s="225">
        <f t="shared" si="0"/>
        <v>105</v>
      </c>
      <c r="Q17" s="212">
        <f t="shared" si="6"/>
        <v>3284.01</v>
      </c>
    </row>
    <row r="18" spans="1:17" ht="30" customHeight="1">
      <c r="A18" s="256">
        <f t="shared" si="1"/>
        <v>46127</v>
      </c>
      <c r="B18" s="266"/>
      <c r="C18" s="165"/>
      <c r="D18" s="165">
        <v>22</v>
      </c>
      <c r="E18" s="268">
        <v>744.71</v>
      </c>
      <c r="F18" s="261">
        <v>0</v>
      </c>
      <c r="G18" s="114">
        <v>0</v>
      </c>
      <c r="H18" s="114">
        <v>0</v>
      </c>
      <c r="I18" s="115">
        <v>0</v>
      </c>
      <c r="J18" s="116">
        <v>22</v>
      </c>
      <c r="K18" s="218">
        <v>757.1</v>
      </c>
      <c r="L18" s="228">
        <f t="shared" si="2"/>
        <v>0</v>
      </c>
      <c r="M18" s="229">
        <f t="shared" si="3"/>
        <v>0</v>
      </c>
      <c r="N18" s="228">
        <f t="shared" si="4"/>
        <v>44</v>
      </c>
      <c r="O18" s="229">
        <f t="shared" si="5"/>
        <v>1501.81</v>
      </c>
      <c r="P18" s="225">
        <f t="shared" si="0"/>
        <v>44</v>
      </c>
      <c r="Q18" s="212">
        <f t="shared" si="6"/>
        <v>1501.81</v>
      </c>
    </row>
    <row r="19" spans="1:17" ht="30" customHeight="1">
      <c r="A19" s="255">
        <f t="shared" si="1"/>
        <v>46128</v>
      </c>
      <c r="B19" s="266">
        <v>59</v>
      </c>
      <c r="C19" s="165">
        <v>1761.15</v>
      </c>
      <c r="D19" s="165">
        <v>13</v>
      </c>
      <c r="E19" s="268">
        <v>401.6</v>
      </c>
      <c r="F19" s="261">
        <v>10</v>
      </c>
      <c r="G19" s="114">
        <v>310.79000000000002</v>
      </c>
      <c r="H19" s="114">
        <v>0</v>
      </c>
      <c r="I19" s="115">
        <v>0</v>
      </c>
      <c r="J19" s="116">
        <v>13</v>
      </c>
      <c r="K19" s="218">
        <v>406.28</v>
      </c>
      <c r="L19" s="228">
        <f t="shared" si="2"/>
        <v>69</v>
      </c>
      <c r="M19" s="229">
        <f t="shared" si="3"/>
        <v>2071.94</v>
      </c>
      <c r="N19" s="228">
        <f t="shared" si="4"/>
        <v>26</v>
      </c>
      <c r="O19" s="229">
        <f t="shared" si="5"/>
        <v>807.88</v>
      </c>
      <c r="P19" s="225">
        <f t="shared" si="0"/>
        <v>95</v>
      </c>
      <c r="Q19" s="212">
        <f t="shared" si="6"/>
        <v>2879.82</v>
      </c>
    </row>
    <row r="20" spans="1:17" ht="30" customHeight="1">
      <c r="A20" s="256">
        <f t="shared" si="1"/>
        <v>46129</v>
      </c>
      <c r="B20" s="266">
        <v>0</v>
      </c>
      <c r="C20" s="165">
        <v>0</v>
      </c>
      <c r="D20" s="165">
        <v>25</v>
      </c>
      <c r="E20" s="306">
        <v>778.44</v>
      </c>
      <c r="F20" s="261">
        <v>0</v>
      </c>
      <c r="G20" s="114">
        <v>0</v>
      </c>
      <c r="H20" s="114">
        <v>0</v>
      </c>
      <c r="I20" s="115">
        <v>0</v>
      </c>
      <c r="J20" s="116">
        <v>25</v>
      </c>
      <c r="K20" s="307">
        <v>807.1</v>
      </c>
      <c r="L20" s="228">
        <f t="shared" si="2"/>
        <v>0</v>
      </c>
      <c r="M20" s="229">
        <f t="shared" si="3"/>
        <v>0</v>
      </c>
      <c r="N20" s="228">
        <f t="shared" si="4"/>
        <v>50</v>
      </c>
      <c r="O20" s="229">
        <f t="shared" si="5"/>
        <v>1585.54</v>
      </c>
      <c r="P20" s="225">
        <f t="shared" si="0"/>
        <v>50</v>
      </c>
      <c r="Q20" s="212">
        <f t="shared" si="6"/>
        <v>1585.54</v>
      </c>
    </row>
    <row r="21" spans="1:17" ht="30" customHeight="1">
      <c r="A21" s="255">
        <f t="shared" si="1"/>
        <v>46130</v>
      </c>
      <c r="B21" s="266">
        <v>22</v>
      </c>
      <c r="C21" s="165">
        <v>670.06999999999994</v>
      </c>
      <c r="D21" s="165">
        <v>33</v>
      </c>
      <c r="E21" s="306">
        <v>1077.25</v>
      </c>
      <c r="F21" s="261">
        <v>0</v>
      </c>
      <c r="G21" s="114">
        <v>0</v>
      </c>
      <c r="H21" s="114">
        <v>0</v>
      </c>
      <c r="I21" s="115">
        <v>0</v>
      </c>
      <c r="J21" s="116">
        <v>34</v>
      </c>
      <c r="K21" s="218">
        <v>1112.4000000000001</v>
      </c>
      <c r="L21" s="228">
        <f t="shared" si="2"/>
        <v>22</v>
      </c>
      <c r="M21" s="229">
        <f t="shared" si="3"/>
        <v>670.06999999999994</v>
      </c>
      <c r="N21" s="228">
        <f t="shared" si="4"/>
        <v>67</v>
      </c>
      <c r="O21" s="229">
        <f t="shared" si="5"/>
        <v>2189.65</v>
      </c>
      <c r="P21" s="225">
        <f t="shared" si="0"/>
        <v>89</v>
      </c>
      <c r="Q21" s="212">
        <f t="shared" si="6"/>
        <v>2859.7200000000003</v>
      </c>
    </row>
    <row r="22" spans="1:17" ht="30" customHeight="1">
      <c r="A22" s="256">
        <f t="shared" si="1"/>
        <v>46131</v>
      </c>
      <c r="B22" s="266"/>
      <c r="C22" s="165"/>
      <c r="D22" s="165"/>
      <c r="E22" s="268"/>
      <c r="F22" s="261"/>
      <c r="G22" s="114"/>
      <c r="H22" s="114"/>
      <c r="I22" s="115"/>
      <c r="J22" s="116"/>
      <c r="K22" s="218"/>
      <c r="L22" s="228">
        <f t="shared" si="2"/>
        <v>0</v>
      </c>
      <c r="M22" s="229">
        <f t="shared" si="3"/>
        <v>0</v>
      </c>
      <c r="N22" s="228">
        <f t="shared" si="4"/>
        <v>0</v>
      </c>
      <c r="O22" s="229">
        <f t="shared" si="5"/>
        <v>0</v>
      </c>
      <c r="P22" s="225">
        <f t="shared" si="0"/>
        <v>0</v>
      </c>
      <c r="Q22" s="212">
        <f t="shared" si="6"/>
        <v>0</v>
      </c>
    </row>
    <row r="23" spans="1:17" ht="30" customHeight="1">
      <c r="A23" s="255">
        <f t="shared" si="1"/>
        <v>46132</v>
      </c>
      <c r="B23" s="266">
        <v>4</v>
      </c>
      <c r="C23" s="165">
        <v>122.65</v>
      </c>
      <c r="D23" s="165"/>
      <c r="E23" s="268"/>
      <c r="F23" s="261"/>
      <c r="G23" s="114"/>
      <c r="H23" s="114"/>
      <c r="I23" s="115"/>
      <c r="J23" s="116"/>
      <c r="K23" s="218"/>
      <c r="L23" s="228">
        <f t="shared" si="2"/>
        <v>4</v>
      </c>
      <c r="M23" s="229">
        <f t="shared" si="3"/>
        <v>122.65</v>
      </c>
      <c r="N23" s="228">
        <f t="shared" si="4"/>
        <v>0</v>
      </c>
      <c r="O23" s="229">
        <f t="shared" si="5"/>
        <v>0</v>
      </c>
      <c r="P23" s="225">
        <f t="shared" si="0"/>
        <v>4</v>
      </c>
      <c r="Q23" s="212">
        <f t="shared" si="6"/>
        <v>122.65</v>
      </c>
    </row>
    <row r="24" spans="1:17" ht="30" customHeight="1">
      <c r="A24" s="256">
        <f t="shared" si="1"/>
        <v>46133</v>
      </c>
      <c r="B24" s="266"/>
      <c r="C24" s="165"/>
      <c r="D24" s="165"/>
      <c r="E24" s="268"/>
      <c r="F24" s="261"/>
      <c r="G24" s="114"/>
      <c r="H24" s="114"/>
      <c r="I24" s="115"/>
      <c r="J24" s="116"/>
      <c r="K24" s="218"/>
      <c r="L24" s="228">
        <f t="shared" si="2"/>
        <v>0</v>
      </c>
      <c r="M24" s="229">
        <f t="shared" si="3"/>
        <v>0</v>
      </c>
      <c r="N24" s="228">
        <f t="shared" si="4"/>
        <v>0</v>
      </c>
      <c r="O24" s="229">
        <f t="shared" si="5"/>
        <v>0</v>
      </c>
      <c r="P24" s="225">
        <f t="shared" si="0"/>
        <v>0</v>
      </c>
      <c r="Q24" s="212">
        <f t="shared" si="6"/>
        <v>0</v>
      </c>
    </row>
    <row r="25" spans="1:17" ht="30" customHeight="1">
      <c r="A25" s="255">
        <f t="shared" si="1"/>
        <v>46134</v>
      </c>
      <c r="B25" s="266">
        <v>0</v>
      </c>
      <c r="C25" s="165">
        <v>0</v>
      </c>
      <c r="D25" s="165">
        <v>22</v>
      </c>
      <c r="E25" s="268">
        <v>748.12</v>
      </c>
      <c r="F25" s="261">
        <v>0</v>
      </c>
      <c r="G25" s="114">
        <v>0</v>
      </c>
      <c r="H25" s="114">
        <v>19</v>
      </c>
      <c r="I25" s="115">
        <v>643.05999999999995</v>
      </c>
      <c r="J25" s="116">
        <v>21</v>
      </c>
      <c r="K25" s="218">
        <v>713.78</v>
      </c>
      <c r="L25" s="228">
        <f t="shared" si="2"/>
        <v>0</v>
      </c>
      <c r="M25" s="229">
        <f t="shared" si="3"/>
        <v>0</v>
      </c>
      <c r="N25" s="228">
        <f t="shared" si="4"/>
        <v>62</v>
      </c>
      <c r="O25" s="229">
        <f t="shared" si="5"/>
        <v>2104.96</v>
      </c>
      <c r="P25" s="225">
        <f t="shared" si="0"/>
        <v>62</v>
      </c>
      <c r="Q25" s="212">
        <f t="shared" si="6"/>
        <v>2104.96</v>
      </c>
    </row>
    <row r="26" spans="1:17" ht="30" customHeight="1">
      <c r="A26" s="256">
        <f t="shared" si="1"/>
        <v>46135</v>
      </c>
      <c r="B26" s="266">
        <v>36</v>
      </c>
      <c r="C26" s="165">
        <v>1121.32</v>
      </c>
      <c r="D26" s="165">
        <v>19</v>
      </c>
      <c r="E26" s="268">
        <v>644.34</v>
      </c>
      <c r="F26" s="261">
        <v>26</v>
      </c>
      <c r="G26" s="114">
        <v>825.3</v>
      </c>
      <c r="H26" s="114">
        <v>31</v>
      </c>
      <c r="I26" s="115">
        <v>1062.02</v>
      </c>
      <c r="J26" s="116">
        <v>19</v>
      </c>
      <c r="K26" s="218">
        <v>647.66999999999996</v>
      </c>
      <c r="L26" s="228">
        <f t="shared" si="2"/>
        <v>62</v>
      </c>
      <c r="M26" s="229">
        <f t="shared" si="3"/>
        <v>1946.62</v>
      </c>
      <c r="N26" s="228">
        <f t="shared" si="4"/>
        <v>69</v>
      </c>
      <c r="O26" s="229">
        <f t="shared" si="5"/>
        <v>2354.0300000000002</v>
      </c>
      <c r="P26" s="225">
        <f t="shared" si="0"/>
        <v>131</v>
      </c>
      <c r="Q26" s="212">
        <f t="shared" si="6"/>
        <v>4300.6499999999996</v>
      </c>
    </row>
    <row r="27" spans="1:17" ht="30" customHeight="1">
      <c r="A27" s="255">
        <f t="shared" si="1"/>
        <v>46136</v>
      </c>
      <c r="B27" s="266">
        <v>0</v>
      </c>
      <c r="C27" s="165">
        <v>0</v>
      </c>
      <c r="D27" s="165">
        <v>64</v>
      </c>
      <c r="E27" s="268">
        <v>2078.75</v>
      </c>
      <c r="F27" s="261">
        <v>0</v>
      </c>
      <c r="G27" s="114">
        <v>0</v>
      </c>
      <c r="H27" s="114">
        <v>0</v>
      </c>
      <c r="I27" s="115">
        <v>0</v>
      </c>
      <c r="J27" s="116">
        <v>64</v>
      </c>
      <c r="K27" s="218">
        <v>2173.94</v>
      </c>
      <c r="L27" s="228">
        <f t="shared" si="2"/>
        <v>0</v>
      </c>
      <c r="M27" s="229">
        <f t="shared" si="3"/>
        <v>0</v>
      </c>
      <c r="N27" s="228">
        <f t="shared" si="4"/>
        <v>128</v>
      </c>
      <c r="O27" s="229">
        <f t="shared" si="5"/>
        <v>4252.6900000000005</v>
      </c>
      <c r="P27" s="225">
        <f t="shared" si="0"/>
        <v>128</v>
      </c>
      <c r="Q27" s="212">
        <f t="shared" si="6"/>
        <v>4252.6900000000005</v>
      </c>
    </row>
    <row r="28" spans="1:17" ht="30" customHeight="1">
      <c r="A28" s="256">
        <f t="shared" si="1"/>
        <v>46137</v>
      </c>
      <c r="B28" s="266">
        <v>53</v>
      </c>
      <c r="C28" s="165">
        <v>1796.51</v>
      </c>
      <c r="D28" s="165">
        <v>35</v>
      </c>
      <c r="E28" s="268">
        <v>1086.6300000000001</v>
      </c>
      <c r="F28" s="261">
        <v>5</v>
      </c>
      <c r="G28" s="114">
        <v>170.97</v>
      </c>
      <c r="H28" s="114">
        <v>0</v>
      </c>
      <c r="I28" s="115">
        <v>0</v>
      </c>
      <c r="J28" s="116">
        <v>27</v>
      </c>
      <c r="K28" s="218">
        <v>898.18</v>
      </c>
      <c r="L28" s="228">
        <f t="shared" si="2"/>
        <v>58</v>
      </c>
      <c r="M28" s="229">
        <f t="shared" si="3"/>
        <v>1967.48</v>
      </c>
      <c r="N28" s="228">
        <f t="shared" si="4"/>
        <v>62</v>
      </c>
      <c r="O28" s="229">
        <f t="shared" si="5"/>
        <v>1984.81</v>
      </c>
      <c r="P28" s="225">
        <f t="shared" si="0"/>
        <v>120</v>
      </c>
      <c r="Q28" s="212">
        <f t="shared" si="6"/>
        <v>3952.29</v>
      </c>
    </row>
    <row r="29" spans="1:17" ht="30" customHeight="1">
      <c r="A29" s="255">
        <f t="shared" si="1"/>
        <v>46138</v>
      </c>
      <c r="B29" s="266">
        <v>0</v>
      </c>
      <c r="C29" s="165"/>
      <c r="D29" s="165"/>
      <c r="E29" s="268"/>
      <c r="F29" s="261"/>
      <c r="G29" s="114"/>
      <c r="H29" s="114"/>
      <c r="I29" s="115"/>
      <c r="J29" s="116"/>
      <c r="K29" s="218"/>
      <c r="L29" s="228">
        <f t="shared" si="2"/>
        <v>0</v>
      </c>
      <c r="M29" s="229">
        <f t="shared" si="3"/>
        <v>0</v>
      </c>
      <c r="N29" s="228">
        <f t="shared" si="4"/>
        <v>0</v>
      </c>
      <c r="O29" s="229">
        <f t="shared" si="5"/>
        <v>0</v>
      </c>
      <c r="P29" s="225">
        <f t="shared" si="0"/>
        <v>0</v>
      </c>
      <c r="Q29" s="212">
        <f t="shared" si="6"/>
        <v>0</v>
      </c>
    </row>
    <row r="30" spans="1:17" ht="30" customHeight="1">
      <c r="A30" s="256">
        <f t="shared" si="1"/>
        <v>46139</v>
      </c>
      <c r="B30" s="266">
        <v>0</v>
      </c>
      <c r="C30" s="165">
        <v>0</v>
      </c>
      <c r="D30" s="165">
        <v>34</v>
      </c>
      <c r="E30" s="268">
        <v>1099.51</v>
      </c>
      <c r="F30" s="261">
        <v>0</v>
      </c>
      <c r="G30" s="114">
        <v>0</v>
      </c>
      <c r="H30" s="114">
        <v>0</v>
      </c>
      <c r="I30" s="115">
        <v>0</v>
      </c>
      <c r="J30" s="116">
        <v>20</v>
      </c>
      <c r="K30" s="218">
        <v>634.52</v>
      </c>
      <c r="L30" s="228">
        <f t="shared" si="2"/>
        <v>0</v>
      </c>
      <c r="M30" s="229">
        <f t="shared" si="3"/>
        <v>0</v>
      </c>
      <c r="N30" s="228">
        <f t="shared" si="4"/>
        <v>54</v>
      </c>
      <c r="O30" s="229">
        <f t="shared" si="5"/>
        <v>1734.03</v>
      </c>
      <c r="P30" s="225">
        <f t="shared" si="0"/>
        <v>54</v>
      </c>
      <c r="Q30" s="212">
        <f t="shared" si="6"/>
        <v>1734.03</v>
      </c>
    </row>
    <row r="31" spans="1:17" ht="30" customHeight="1">
      <c r="A31" s="255">
        <f t="shared" si="1"/>
        <v>46140</v>
      </c>
      <c r="B31" s="266">
        <v>59</v>
      </c>
      <c r="C31" s="165">
        <v>1772.67</v>
      </c>
      <c r="D31" s="165">
        <v>34</v>
      </c>
      <c r="E31" s="268">
        <v>1172.76</v>
      </c>
      <c r="F31" s="261">
        <v>0</v>
      </c>
      <c r="G31" s="114">
        <v>0</v>
      </c>
      <c r="H31" s="114">
        <v>0</v>
      </c>
      <c r="I31" s="115">
        <v>0</v>
      </c>
      <c r="J31" s="116">
        <v>25</v>
      </c>
      <c r="K31" s="218">
        <v>758.28</v>
      </c>
      <c r="L31" s="228">
        <f t="shared" si="2"/>
        <v>59</v>
      </c>
      <c r="M31" s="229">
        <f t="shared" si="3"/>
        <v>1772.67</v>
      </c>
      <c r="N31" s="228">
        <f t="shared" si="4"/>
        <v>59</v>
      </c>
      <c r="O31" s="229">
        <f t="shared" si="5"/>
        <v>1931.04</v>
      </c>
      <c r="P31" s="225">
        <f t="shared" si="0"/>
        <v>118</v>
      </c>
      <c r="Q31" s="212">
        <f t="shared" si="6"/>
        <v>3703.71</v>
      </c>
    </row>
    <row r="32" spans="1:17" ht="30" customHeight="1">
      <c r="A32" s="256">
        <f t="shared" si="1"/>
        <v>46141</v>
      </c>
      <c r="B32" s="266">
        <v>0</v>
      </c>
      <c r="C32" s="165">
        <v>0</v>
      </c>
      <c r="D32" s="165">
        <v>41</v>
      </c>
      <c r="E32" s="268">
        <v>1428.15</v>
      </c>
      <c r="F32" s="261">
        <v>0</v>
      </c>
      <c r="G32" s="114">
        <v>0</v>
      </c>
      <c r="H32" s="114">
        <v>0</v>
      </c>
      <c r="I32" s="115">
        <v>0</v>
      </c>
      <c r="J32" s="116">
        <v>41</v>
      </c>
      <c r="K32" s="218">
        <v>1379.97</v>
      </c>
      <c r="L32" s="228">
        <f t="shared" si="2"/>
        <v>0</v>
      </c>
      <c r="M32" s="229">
        <f t="shared" si="3"/>
        <v>0</v>
      </c>
      <c r="N32" s="228">
        <f t="shared" si="4"/>
        <v>82</v>
      </c>
      <c r="O32" s="229">
        <f t="shared" si="5"/>
        <v>2808.12</v>
      </c>
      <c r="P32" s="225">
        <f t="shared" si="0"/>
        <v>82</v>
      </c>
      <c r="Q32" s="212">
        <f t="shared" si="6"/>
        <v>2808.12</v>
      </c>
    </row>
    <row r="33" spans="1:17" ht="30" customHeight="1">
      <c r="A33" s="257">
        <f t="shared" si="1"/>
        <v>46142</v>
      </c>
      <c r="B33" s="266">
        <v>28</v>
      </c>
      <c r="C33" s="165">
        <v>943.99</v>
      </c>
      <c r="D33" s="165">
        <v>38</v>
      </c>
      <c r="E33" s="268">
        <v>1248.4100000000001</v>
      </c>
      <c r="F33" s="261">
        <v>0</v>
      </c>
      <c r="G33" s="114">
        <v>0</v>
      </c>
      <c r="H33" s="114">
        <v>0</v>
      </c>
      <c r="I33" s="114">
        <v>0</v>
      </c>
      <c r="J33" s="198">
        <v>37</v>
      </c>
      <c r="K33" s="218">
        <v>1289.47</v>
      </c>
      <c r="L33" s="228">
        <f t="shared" si="2"/>
        <v>28</v>
      </c>
      <c r="M33" s="229">
        <f t="shared" si="3"/>
        <v>943.99</v>
      </c>
      <c r="N33" s="228">
        <f t="shared" si="4"/>
        <v>75</v>
      </c>
      <c r="O33" s="229">
        <f t="shared" si="5"/>
        <v>2537.88</v>
      </c>
      <c r="P33" s="225">
        <f t="shared" si="0"/>
        <v>103</v>
      </c>
      <c r="Q33" s="212">
        <f t="shared" si="6"/>
        <v>3481.87</v>
      </c>
    </row>
    <row r="34" spans="1:17" ht="30" customHeight="1" thickBot="1">
      <c r="A34" s="284"/>
      <c r="B34" s="295"/>
      <c r="C34" s="296"/>
      <c r="D34" s="296"/>
      <c r="E34" s="297"/>
      <c r="F34" s="300"/>
      <c r="G34" s="301"/>
      <c r="H34" s="301"/>
      <c r="I34" s="302"/>
      <c r="J34" s="298"/>
      <c r="K34" s="299"/>
      <c r="L34" s="228">
        <f t="shared" si="2"/>
        <v>0</v>
      </c>
      <c r="M34" s="229">
        <f t="shared" si="3"/>
        <v>0</v>
      </c>
      <c r="N34" s="228">
        <f t="shared" si="4"/>
        <v>0</v>
      </c>
      <c r="O34" s="229">
        <f t="shared" si="5"/>
        <v>0</v>
      </c>
      <c r="P34" s="225">
        <f t="shared" si="0"/>
        <v>0</v>
      </c>
      <c r="Q34" s="212">
        <f t="shared" si="6"/>
        <v>0</v>
      </c>
    </row>
    <row r="35" spans="1:17" s="74" customFormat="1" ht="21.6" thickBot="1">
      <c r="A35" s="161" t="s">
        <v>27</v>
      </c>
      <c r="B35" s="166">
        <f t="shared" ref="B35:P35" si="7">SUM(B4:B34)</f>
        <v>616</v>
      </c>
      <c r="C35" s="166">
        <f t="shared" si="7"/>
        <v>18900.55</v>
      </c>
      <c r="D35" s="166">
        <f t="shared" si="7"/>
        <v>453</v>
      </c>
      <c r="E35" s="166">
        <f t="shared" si="7"/>
        <v>14937.17</v>
      </c>
      <c r="F35" s="167">
        <f t="shared" si="7"/>
        <v>113</v>
      </c>
      <c r="G35" s="167">
        <f t="shared" si="7"/>
        <v>3476.81</v>
      </c>
      <c r="H35" s="167">
        <f t="shared" si="7"/>
        <v>82</v>
      </c>
      <c r="I35" s="167">
        <f t="shared" si="7"/>
        <v>2764.0699999999997</v>
      </c>
      <c r="J35" s="169">
        <f t="shared" si="7"/>
        <v>451</v>
      </c>
      <c r="K35" s="219">
        <f t="shared" si="7"/>
        <v>14879.85</v>
      </c>
      <c r="L35" s="221">
        <f t="shared" ref="L35" si="8">+B35+F35</f>
        <v>729</v>
      </c>
      <c r="M35" s="222">
        <f t="shared" ref="M35" si="9">+C35+G35</f>
        <v>22377.360000000001</v>
      </c>
      <c r="N35" s="221">
        <f t="shared" ref="N35" si="10">+D35+H35+J35</f>
        <v>986</v>
      </c>
      <c r="O35" s="222">
        <f t="shared" ref="O35" si="11">E35+I35+K35</f>
        <v>32581.089999999997</v>
      </c>
      <c r="P35" s="226">
        <f t="shared" si="7"/>
        <v>1715</v>
      </c>
      <c r="Q35" s="213">
        <f>SUM(Q4:Q34)</f>
        <v>54958.450000000012</v>
      </c>
    </row>
    <row r="36" spans="1:17" s="107" customFormat="1" ht="21.6" thickBot="1">
      <c r="A36" s="162" t="s">
        <v>52</v>
      </c>
      <c r="B36" s="122">
        <f>+B35+D35</f>
        <v>1069</v>
      </c>
      <c r="C36" s="319">
        <f>+C35+E35</f>
        <v>33837.72</v>
      </c>
      <c r="D36" s="320"/>
      <c r="E36" s="320"/>
      <c r="F36" s="168">
        <f>+F35+H35</f>
        <v>195</v>
      </c>
      <c r="G36" s="339">
        <f>+G35+I35</f>
        <v>6240.8799999999992</v>
      </c>
      <c r="H36" s="340"/>
      <c r="I36" s="341"/>
      <c r="J36" s="170">
        <f>+J35</f>
        <v>451</v>
      </c>
      <c r="K36" s="220">
        <f>+K35</f>
        <v>14879.85</v>
      </c>
      <c r="L36" s="223"/>
      <c r="M36" s="342">
        <f>+M35+O35</f>
        <v>54958.45</v>
      </c>
      <c r="N36" s="343"/>
      <c r="O36" s="224"/>
      <c r="P36" s="227">
        <f>+B36+F36+J36</f>
        <v>1715</v>
      </c>
      <c r="Q36" s="214">
        <f>+C36+G36+K36</f>
        <v>54958.45</v>
      </c>
    </row>
    <row r="37" spans="1:17" s="107" customFormat="1" ht="9" customHeight="1" thickBot="1">
      <c r="A37" s="140"/>
      <c r="B37" s="141"/>
      <c r="C37" s="142"/>
      <c r="D37" s="142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3"/>
      <c r="Q37" s="144"/>
    </row>
    <row r="38" spans="1:17" ht="36">
      <c r="A38" s="321" t="s">
        <v>106</v>
      </c>
      <c r="B38" s="322"/>
      <c r="C38" s="322"/>
      <c r="D38" s="158">
        <v>0</v>
      </c>
      <c r="E38" s="159" t="s">
        <v>160</v>
      </c>
      <c r="F38" s="153"/>
      <c r="G38" s="152" t="s">
        <v>112</v>
      </c>
      <c r="H38" s="154"/>
      <c r="I38" s="59"/>
      <c r="J38" s="59"/>
      <c r="K38" s="59"/>
      <c r="L38" s="59"/>
      <c r="M38" s="59"/>
      <c r="N38" s="59"/>
      <c r="O38" s="59"/>
      <c r="Q38" s="175"/>
    </row>
    <row r="39" spans="1:17" ht="18">
      <c r="A39" s="308"/>
      <c r="B39" s="25"/>
      <c r="C39" s="25"/>
      <c r="D39" s="12"/>
      <c r="E39" s="160" t="s">
        <v>53</v>
      </c>
      <c r="F39" s="38" t="s">
        <v>54</v>
      </c>
      <c r="G39" s="38" t="s">
        <v>53</v>
      </c>
      <c r="H39" s="156" t="s">
        <v>54</v>
      </c>
      <c r="I39" s="59"/>
      <c r="J39" s="59"/>
      <c r="K39" s="59"/>
      <c r="L39" s="59"/>
      <c r="M39" s="59"/>
      <c r="N39" s="59"/>
      <c r="O39" s="59"/>
      <c r="Q39" s="175"/>
    </row>
    <row r="40" spans="1:17" ht="18">
      <c r="A40" s="155" t="s">
        <v>107</v>
      </c>
      <c r="B40" s="137"/>
      <c r="C40" s="137"/>
      <c r="D40" s="314">
        <f>K36</f>
        <v>14879.85</v>
      </c>
      <c r="E40" s="310"/>
      <c r="F40" s="310"/>
      <c r="G40" s="310">
        <v>0</v>
      </c>
      <c r="H40" s="310">
        <f>K35</f>
        <v>14879.85</v>
      </c>
      <c r="I40" s="59"/>
      <c r="J40" s="59"/>
      <c r="K40" s="59"/>
      <c r="L40" s="59"/>
      <c r="M40" s="59"/>
      <c r="N40" s="59"/>
      <c r="O40" s="59"/>
    </row>
    <row r="41" spans="1:17" ht="18">
      <c r="A41" s="333" t="s">
        <v>108</v>
      </c>
      <c r="B41" s="334"/>
      <c r="C41" s="334"/>
      <c r="D41" s="314">
        <f>G36</f>
        <v>6240.8799999999992</v>
      </c>
      <c r="E41" s="309"/>
      <c r="F41" s="310"/>
      <c r="G41" s="309">
        <f>G35</f>
        <v>3476.81</v>
      </c>
      <c r="H41" s="310">
        <f>I35</f>
        <v>2764.0699999999997</v>
      </c>
      <c r="I41" s="59"/>
      <c r="J41" s="59"/>
      <c r="K41" s="59"/>
      <c r="L41" s="59"/>
      <c r="M41" s="59"/>
      <c r="N41" s="59"/>
      <c r="O41" s="59"/>
    </row>
    <row r="42" spans="1:17" ht="18.600000000000001" thickBot="1">
      <c r="A42" s="317" t="s">
        <v>75</v>
      </c>
      <c r="B42" s="318"/>
      <c r="C42" s="318"/>
      <c r="D42" s="157">
        <f>C36</f>
        <v>33837.72</v>
      </c>
      <c r="E42" s="313"/>
      <c r="F42" s="311"/>
      <c r="G42" s="311">
        <f>C35</f>
        <v>18900.55</v>
      </c>
      <c r="H42" s="312">
        <f>E35</f>
        <v>14937.17</v>
      </c>
      <c r="I42" s="59"/>
      <c r="J42" s="59"/>
      <c r="K42" s="59"/>
      <c r="L42" s="59"/>
      <c r="M42" s="59"/>
      <c r="N42" s="59"/>
      <c r="O42" s="59"/>
    </row>
    <row r="43" spans="1:17">
      <c r="A43" s="149" t="s">
        <v>31</v>
      </c>
      <c r="B43" s="149"/>
      <c r="C43" s="150"/>
      <c r="D43" s="151">
        <f>SUM(D38:D42)</f>
        <v>54958.45</v>
      </c>
      <c r="E43" s="145" t="s">
        <v>113</v>
      </c>
      <c r="F43" s="146">
        <f>+C35+G35</f>
        <v>22377.360000000001</v>
      </c>
      <c r="L43"/>
      <c r="M43"/>
      <c r="N43"/>
      <c r="O43"/>
    </row>
    <row r="44" spans="1:17">
      <c r="E44" s="145" t="s">
        <v>114</v>
      </c>
      <c r="F44" s="146">
        <f>+E35+I35+K35</f>
        <v>32581.089999999997</v>
      </c>
      <c r="L44"/>
      <c r="M44"/>
      <c r="N44"/>
      <c r="O44"/>
    </row>
    <row r="45" spans="1:17" ht="18.600000000000001" thickBot="1">
      <c r="C45" s="139"/>
      <c r="E45" s="147" t="s">
        <v>115</v>
      </c>
      <c r="F45" s="148">
        <f>SUM(F43:F44)</f>
        <v>54958.45</v>
      </c>
      <c r="L45"/>
      <c r="M45"/>
      <c r="N45"/>
      <c r="O45"/>
    </row>
    <row r="46" spans="1:17">
      <c r="L46"/>
      <c r="M46"/>
      <c r="N46"/>
      <c r="O46"/>
    </row>
    <row r="47" spans="1:17">
      <c r="L47"/>
      <c r="M47"/>
      <c r="N47"/>
      <c r="O47"/>
    </row>
    <row r="48" spans="1:17">
      <c r="L48"/>
      <c r="M48"/>
      <c r="N48"/>
      <c r="O48"/>
    </row>
    <row r="49" spans="12:15">
      <c r="L49"/>
      <c r="M49"/>
      <c r="N49"/>
      <c r="O49"/>
    </row>
    <row r="50" spans="12:15">
      <c r="L50"/>
      <c r="M50"/>
      <c r="N50"/>
      <c r="O50"/>
    </row>
    <row r="51" spans="12:15">
      <c r="L51"/>
      <c r="M51"/>
      <c r="N51"/>
      <c r="O51"/>
    </row>
    <row r="52" spans="12:15">
      <c r="L52"/>
      <c r="M52"/>
      <c r="N52"/>
      <c r="O52"/>
    </row>
    <row r="53" spans="12:15">
      <c r="L53"/>
      <c r="M53"/>
      <c r="N53"/>
      <c r="O53"/>
    </row>
    <row r="54" spans="12:15">
      <c r="L54"/>
      <c r="M54"/>
      <c r="N54"/>
      <c r="O54"/>
    </row>
    <row r="55" spans="12:15">
      <c r="L55"/>
      <c r="M55"/>
      <c r="N55"/>
      <c r="O55"/>
    </row>
    <row r="56" spans="12:15">
      <c r="L56"/>
      <c r="M56"/>
      <c r="N56"/>
      <c r="O56"/>
    </row>
    <row r="57" spans="12:15">
      <c r="L57"/>
      <c r="M57"/>
      <c r="N57"/>
      <c r="O57"/>
    </row>
    <row r="58" spans="12:15">
      <c r="L58"/>
      <c r="M58"/>
      <c r="N58"/>
      <c r="O58"/>
    </row>
    <row r="59" spans="12:15">
      <c r="L59"/>
      <c r="M59"/>
      <c r="N59"/>
      <c r="O59"/>
    </row>
    <row r="60" spans="12:15">
      <c r="L60"/>
      <c r="M60"/>
      <c r="N60"/>
      <c r="O60"/>
    </row>
    <row r="61" spans="12:15">
      <c r="L61"/>
      <c r="M61"/>
      <c r="N61"/>
      <c r="O61"/>
    </row>
    <row r="62" spans="12:15">
      <c r="L62"/>
      <c r="M62"/>
      <c r="N62"/>
      <c r="O62"/>
    </row>
    <row r="63" spans="12:15">
      <c r="L63"/>
      <c r="M63"/>
      <c r="N63"/>
      <c r="O63"/>
    </row>
    <row r="64" spans="12:15">
      <c r="L64"/>
      <c r="M64"/>
      <c r="N64"/>
      <c r="O64"/>
    </row>
    <row r="65" spans="12:15">
      <c r="L65"/>
      <c r="M65"/>
      <c r="N65"/>
      <c r="O65"/>
    </row>
    <row r="66" spans="12:15">
      <c r="L66"/>
      <c r="M66"/>
      <c r="N66"/>
      <c r="O66"/>
    </row>
    <row r="67" spans="12:15">
      <c r="L67"/>
      <c r="M67"/>
      <c r="N67"/>
      <c r="O67"/>
    </row>
    <row r="68" spans="12:15">
      <c r="L68"/>
      <c r="M68"/>
      <c r="N68"/>
      <c r="O68"/>
    </row>
  </sheetData>
  <mergeCells count="14">
    <mergeCell ref="A1:K1"/>
    <mergeCell ref="L1:Q1"/>
    <mergeCell ref="J2:K2"/>
    <mergeCell ref="A41:C41"/>
    <mergeCell ref="P2:Q2"/>
    <mergeCell ref="L2:M2"/>
    <mergeCell ref="N2:O2"/>
    <mergeCell ref="G36:I36"/>
    <mergeCell ref="M36:N36"/>
    <mergeCell ref="A42:C42"/>
    <mergeCell ref="C36:E36"/>
    <mergeCell ref="A38:C38"/>
    <mergeCell ref="B2:E2"/>
    <mergeCell ref="F2:I2"/>
  </mergeCells>
  <printOptions horizontalCentered="1"/>
  <pageMargins left="0.19685039370078741" right="0.15748031496062992" top="0.15748031496062992" bottom="0.15748031496062992" header="0.31496062992125984" footer="0.31496062992125984"/>
  <pageSetup paperSize="9" scale="7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TRIP DETAILs</vt:lpstr>
      <vt:lpstr>APRIL-2026</vt:lpstr>
      <vt:lpstr>SHIFTING DATA</vt:lpstr>
      <vt:lpstr>'APRIL-2026'!Print_Area</vt:lpstr>
      <vt:lpstr>'SHIFTING DATA'!Print_Area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BSM</dc:creator>
  <cp:lastModifiedBy>Kshirod kumar Barik</cp:lastModifiedBy>
  <cp:lastPrinted>2025-06-28T06:23:23Z</cp:lastPrinted>
  <dcterms:created xsi:type="dcterms:W3CDTF">2015-06-05T18:17:00Z</dcterms:created>
  <dcterms:modified xsi:type="dcterms:W3CDTF">2026-05-15T09:35:17Z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03F6545FC5444F3DA1AA6879D377E1EA</vt:lpwstr>
  </property>
  <property fmtid="{D5CDD505-2E9C-101B-9397-08002B2CF9AE}" pid="3" name="KSOProductBuildVer">
    <vt:lpwstr>2057-11.2.0.11440</vt:lpwstr>
  </property>
</Properties>
</file>