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hatsapp Daily folder\JUNE-2026\"/>
    </mc:Choice>
  </mc:AlternateContent>
  <xr:revisionPtr revIDLastSave="0" documentId="13_ncr:1_{E1C3BC21-28C1-4B63-BD3B-78CDDDF2F26F}" xr6:coauthVersionLast="47" xr6:coauthVersionMax="47" xr10:uidLastSave="{00000000-0000-0000-0000-000000000000}"/>
  <bookViews>
    <workbookView xWindow="-108" yWindow="-108" windowWidth="23256" windowHeight="12456" tabRatio="360" activeTab="2" xr2:uid="{00000000-000D-0000-FFFF-FFFF00000000}"/>
  </bookViews>
  <sheets>
    <sheet name="TRIP DETAILs" sheetId="1" r:id="rId1"/>
    <sheet name="JUNE-2026" sheetId="9" r:id="rId2"/>
    <sheet name="SHIFTING DATA" sheetId="11" r:id="rId3"/>
  </sheets>
  <definedNames>
    <definedName name="_xlnm._FilterDatabase" localSheetId="1" hidden="1">'JUNE-2026'!$A$1:$DL$39</definedName>
    <definedName name="_xlnm.Print_Area" localSheetId="1">'JUNE-2026'!$A$1:$CB$34</definedName>
    <definedName name="_xlnm.Print_Area" localSheetId="2">'SHIFTING DATA'!$A$1:$O$44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32" i="9" l="1"/>
  <c r="CK32" i="9"/>
  <c r="CJ31" i="9" l="1"/>
  <c r="DD30" i="9" l="1"/>
  <c r="DE30" i="9"/>
  <c r="F30" i="9"/>
  <c r="CJ29" i="9" l="1"/>
  <c r="BN29" i="9"/>
  <c r="AR29" i="9"/>
  <c r="CJ28" i="9"/>
  <c r="CK28" i="9"/>
  <c r="CJ27" i="9"/>
  <c r="CM26" i="9" l="1"/>
  <c r="CJ26" i="9"/>
  <c r="CP26" i="9"/>
  <c r="CK26" i="9"/>
  <c r="CK25" i="9"/>
  <c r="CJ25" i="9"/>
  <c r="C35" i="11"/>
  <c r="D35" i="11"/>
  <c r="E35" i="11"/>
  <c r="F35" i="11"/>
  <c r="G35" i="11"/>
  <c r="H35" i="11"/>
  <c r="I35" i="11"/>
  <c r="J35" i="11"/>
  <c r="J36" i="11" s="1"/>
  <c r="K35" i="11"/>
  <c r="K36" i="11" s="1"/>
  <c r="L35" i="11"/>
  <c r="M35" i="11"/>
  <c r="N35" i="11"/>
  <c r="O35" i="11"/>
  <c r="B35" i="11"/>
  <c r="Q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4" i="11"/>
  <c r="R4" i="11"/>
  <c r="Q21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BN21" i="9"/>
  <c r="BN22" i="9"/>
  <c r="BN23" i="9"/>
  <c r="BN24" i="9"/>
  <c r="S35" i="11" l="1"/>
  <c r="Q35" i="11"/>
  <c r="Q36" i="11" s="1"/>
  <c r="CJ24" i="9"/>
  <c r="CK24" i="9"/>
  <c r="CJ22" i="9"/>
  <c r="CK22" i="9"/>
  <c r="CG22" i="9"/>
  <c r="CF22" i="9"/>
  <c r="CJ21" i="9"/>
  <c r="CK21" i="9"/>
  <c r="CJ20" i="9"/>
  <c r="CK20" i="9"/>
  <c r="CJ19" i="9"/>
  <c r="CK19" i="9"/>
  <c r="CJ18" i="9" l="1"/>
  <c r="CK18" i="9"/>
  <c r="P5" i="11"/>
  <c r="R5" i="11"/>
  <c r="P6" i="11"/>
  <c r="R6" i="11"/>
  <c r="P7" i="11"/>
  <c r="R7" i="11"/>
  <c r="P8" i="11"/>
  <c r="R8" i="11"/>
  <c r="P9" i="11"/>
  <c r="R9" i="11"/>
  <c r="P10" i="11"/>
  <c r="R10" i="11"/>
  <c r="P11" i="11"/>
  <c r="R11" i="11"/>
  <c r="P12" i="11"/>
  <c r="R12" i="11"/>
  <c r="P13" i="11"/>
  <c r="R13" i="11"/>
  <c r="P14" i="11"/>
  <c r="R14" i="11"/>
  <c r="P15" i="11"/>
  <c r="R15" i="11"/>
  <c r="P16" i="11"/>
  <c r="R16" i="11"/>
  <c r="P17" i="11"/>
  <c r="R17" i="11"/>
  <c r="P18" i="11"/>
  <c r="R18" i="11"/>
  <c r="P19" i="11"/>
  <c r="R19" i="11"/>
  <c r="P20" i="11"/>
  <c r="R20" i="11"/>
  <c r="P21" i="11"/>
  <c r="R21" i="11"/>
  <c r="P22" i="11"/>
  <c r="R22" i="11"/>
  <c r="P23" i="11"/>
  <c r="R23" i="11"/>
  <c r="P24" i="11"/>
  <c r="R24" i="11"/>
  <c r="P25" i="11"/>
  <c r="R25" i="11"/>
  <c r="P26" i="11"/>
  <c r="R26" i="11"/>
  <c r="P27" i="11"/>
  <c r="R27" i="11"/>
  <c r="P28" i="11"/>
  <c r="R28" i="11"/>
  <c r="P29" i="11"/>
  <c r="R29" i="11"/>
  <c r="R35" i="11" s="1"/>
  <c r="P30" i="11"/>
  <c r="R30" i="11"/>
  <c r="P31" i="11"/>
  <c r="R31" i="11"/>
  <c r="P32" i="11"/>
  <c r="R32" i="11"/>
  <c r="P33" i="11"/>
  <c r="R33" i="11"/>
  <c r="P34" i="11"/>
  <c r="R34" i="11"/>
  <c r="P4" i="11"/>
  <c r="P35" i="11" l="1"/>
  <c r="CJ15" i="9"/>
  <c r="CK15" i="9"/>
  <c r="CJ14" i="9"/>
  <c r="CK14" i="9"/>
  <c r="CJ13" i="9"/>
  <c r="CK13" i="9"/>
  <c r="CJ12" i="9"/>
  <c r="CK12" i="9"/>
  <c r="CK11" i="9"/>
  <c r="CJ11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CJ8" i="9"/>
  <c r="CK8" i="9"/>
  <c r="V8" i="9"/>
  <c r="CJ7" i="9" l="1"/>
  <c r="CK7" i="9"/>
  <c r="V7" i="9"/>
  <c r="CL3" i="9"/>
  <c r="CS3" i="9"/>
  <c r="V4" i="9"/>
  <c r="V5" i="9"/>
  <c r="V6" i="9"/>
  <c r="V3" i="9"/>
  <c r="CJ6" i="9"/>
  <c r="CK6" i="9"/>
  <c r="CJ5" i="9" l="1"/>
  <c r="CK5" i="9"/>
  <c r="CJ4" i="9"/>
  <c r="CK4" i="9"/>
  <c r="AJ4" i="9"/>
  <c r="AJ5" i="9"/>
  <c r="AJ6" i="9"/>
  <c r="AJ7" i="9"/>
  <c r="AJ8" i="9"/>
  <c r="AJ9" i="9"/>
  <c r="AJ10" i="9"/>
  <c r="AJ11" i="9"/>
  <c r="AJ12" i="9"/>
  <c r="AJ13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CX4" i="9"/>
  <c r="CX5" i="9"/>
  <c r="CX6" i="9"/>
  <c r="CX7" i="9"/>
  <c r="CX8" i="9"/>
  <c r="CX9" i="9"/>
  <c r="CX10" i="9"/>
  <c r="CX11" i="9"/>
  <c r="CX12" i="9"/>
  <c r="CX13" i="9"/>
  <c r="CX14" i="9"/>
  <c r="CX15" i="9"/>
  <c r="CX16" i="9"/>
  <c r="CX17" i="9"/>
  <c r="CX18" i="9"/>
  <c r="CX19" i="9"/>
  <c r="CX20" i="9"/>
  <c r="CX21" i="9"/>
  <c r="CX22" i="9"/>
  <c r="CX23" i="9"/>
  <c r="CX24" i="9"/>
  <c r="CX25" i="9"/>
  <c r="CX26" i="9"/>
  <c r="CX27" i="9"/>
  <c r="CX28" i="9"/>
  <c r="CX29" i="9"/>
  <c r="CX30" i="9"/>
  <c r="CX31" i="9"/>
  <c r="CX32" i="9"/>
  <c r="CX33" i="9"/>
  <c r="CJ3" i="9"/>
  <c r="CX3" i="9"/>
  <c r="AJ3" i="9" l="1"/>
  <c r="E8" i="11"/>
  <c r="CI4" i="9"/>
  <c r="DI4" i="9" s="1"/>
  <c r="CI5" i="9"/>
  <c r="DI5" i="9" s="1"/>
  <c r="CI6" i="9"/>
  <c r="DI6" i="9" s="1"/>
  <c r="CI7" i="9"/>
  <c r="DI7" i="9" s="1"/>
  <c r="CI8" i="9"/>
  <c r="DI8" i="9" s="1"/>
  <c r="CI9" i="9"/>
  <c r="DI9" i="9" s="1"/>
  <c r="CI10" i="9"/>
  <c r="DI10" i="9" s="1"/>
  <c r="CI11" i="9"/>
  <c r="DI11" i="9" s="1"/>
  <c r="CI12" i="9"/>
  <c r="DI12" i="9" s="1"/>
  <c r="CI13" i="9"/>
  <c r="DI13" i="9" s="1"/>
  <c r="CI14" i="9"/>
  <c r="DI14" i="9" s="1"/>
  <c r="CI15" i="9"/>
  <c r="DI15" i="9" s="1"/>
  <c r="CI16" i="9"/>
  <c r="DI16" i="9" s="1"/>
  <c r="DI17" i="9"/>
  <c r="CI18" i="9"/>
  <c r="DI18" i="9" s="1"/>
  <c r="CI19" i="9"/>
  <c r="DI19" i="9" s="1"/>
  <c r="CI20" i="9"/>
  <c r="DI20" i="9" s="1"/>
  <c r="CI21" i="9"/>
  <c r="DI21" i="9" s="1"/>
  <c r="CI22" i="9"/>
  <c r="DI22" i="9" s="1"/>
  <c r="CI23" i="9"/>
  <c r="DI23" i="9" s="1"/>
  <c r="CI24" i="9"/>
  <c r="DI24" i="9" s="1"/>
  <c r="CI25" i="9"/>
  <c r="DI25" i="9" s="1"/>
  <c r="CI26" i="9"/>
  <c r="DI26" i="9" s="1"/>
  <c r="CI27" i="9"/>
  <c r="DI27" i="9" s="1"/>
  <c r="CI28" i="9"/>
  <c r="DI28" i="9" s="1"/>
  <c r="CI29" i="9"/>
  <c r="DI29" i="9" s="1"/>
  <c r="DI30" i="9"/>
  <c r="CI31" i="9"/>
  <c r="DI31" i="9" s="1"/>
  <c r="CI32" i="9"/>
  <c r="DI32" i="9" s="1"/>
  <c r="CI33" i="9"/>
  <c r="DI33" i="9" s="1"/>
  <c r="CI3" i="9"/>
  <c r="DI3" i="9" s="1"/>
  <c r="DJ3" i="9"/>
  <c r="CS4" i="9"/>
  <c r="CS5" i="9"/>
  <c r="CS6" i="9"/>
  <c r="CS7" i="9"/>
  <c r="CS8" i="9"/>
  <c r="CS9" i="9"/>
  <c r="CS10" i="9"/>
  <c r="CS11" i="9"/>
  <c r="CS12" i="9"/>
  <c r="CS13" i="9"/>
  <c r="CS14" i="9"/>
  <c r="CS15" i="9"/>
  <c r="CS16" i="9"/>
  <c r="CS17" i="9"/>
  <c r="CS18" i="9"/>
  <c r="CS19" i="9"/>
  <c r="CS20" i="9"/>
  <c r="CS21" i="9"/>
  <c r="CS22" i="9"/>
  <c r="CS23" i="9"/>
  <c r="CS24" i="9"/>
  <c r="CS25" i="9"/>
  <c r="CS26" i="9"/>
  <c r="CS27" i="9"/>
  <c r="CS28" i="9"/>
  <c r="CS29" i="9"/>
  <c r="CS30" i="9"/>
  <c r="CS31" i="9"/>
  <c r="CS32" i="9"/>
  <c r="CS33" i="9"/>
  <c r="CL4" i="9"/>
  <c r="CL5" i="9"/>
  <c r="CL6" i="9"/>
  <c r="CL7" i="9"/>
  <c r="CL8" i="9"/>
  <c r="CL9" i="9"/>
  <c r="CL10" i="9"/>
  <c r="CL11" i="9"/>
  <c r="CL12" i="9"/>
  <c r="CL13" i="9"/>
  <c r="CL14" i="9"/>
  <c r="CL15" i="9"/>
  <c r="CL16" i="9"/>
  <c r="CL17" i="9"/>
  <c r="CL18" i="9"/>
  <c r="CL19" i="9"/>
  <c r="CL20" i="9"/>
  <c r="CL21" i="9"/>
  <c r="CL22" i="9"/>
  <c r="CL23" i="9"/>
  <c r="CL24" i="9"/>
  <c r="CL25" i="9"/>
  <c r="CL26" i="9"/>
  <c r="CL27" i="9"/>
  <c r="CL28" i="9"/>
  <c r="CL29" i="9"/>
  <c r="CL30" i="9"/>
  <c r="CL31" i="9"/>
  <c r="CL32" i="9"/>
  <c r="CL33" i="9"/>
  <c r="DK3" i="9"/>
  <c r="DF3" i="9"/>
  <c r="DJ4" i="9"/>
  <c r="DJ5" i="9"/>
  <c r="DJ6" i="9"/>
  <c r="DJ7" i="9"/>
  <c r="DJ8" i="9"/>
  <c r="DJ9" i="9"/>
  <c r="DJ10" i="9"/>
  <c r="DJ11" i="9"/>
  <c r="DJ12" i="9"/>
  <c r="DJ13" i="9"/>
  <c r="DJ14" i="9"/>
  <c r="CB4" i="9"/>
  <c r="CB5" i="9"/>
  <c r="CB6" i="9"/>
  <c r="CB7" i="9"/>
  <c r="CB8" i="9"/>
  <c r="CB9" i="9"/>
  <c r="CB10" i="9"/>
  <c r="CB11" i="9"/>
  <c r="CB12" i="9"/>
  <c r="CB13" i="9"/>
  <c r="CB14" i="9"/>
  <c r="CB15" i="9"/>
  <c r="CB16" i="9"/>
  <c r="CB17" i="9"/>
  <c r="CB18" i="9"/>
  <c r="CB19" i="9"/>
  <c r="CB20" i="9"/>
  <c r="CB21" i="9"/>
  <c r="CB22" i="9"/>
  <c r="CB23" i="9"/>
  <c r="CB24" i="9"/>
  <c r="CB25" i="9"/>
  <c r="CB26" i="9"/>
  <c r="CB27" i="9"/>
  <c r="CB28" i="9"/>
  <c r="CB29" i="9"/>
  <c r="CB31" i="9"/>
  <c r="CB32" i="9"/>
  <c r="CB33" i="9"/>
  <c r="CB3" i="9"/>
  <c r="DH3" i="9" s="1"/>
  <c r="BT4" i="9"/>
  <c r="BU4" i="9" s="1"/>
  <c r="BT5" i="9"/>
  <c r="BU5" i="9" s="1"/>
  <c r="BT6" i="9"/>
  <c r="BU6" i="9" s="1"/>
  <c r="BT7" i="9"/>
  <c r="BU7" i="9" s="1"/>
  <c r="BT8" i="9"/>
  <c r="BU8" i="9" s="1"/>
  <c r="BT9" i="9"/>
  <c r="BU9" i="9" s="1"/>
  <c r="BT10" i="9"/>
  <c r="BU10" i="9" s="1"/>
  <c r="BT11" i="9"/>
  <c r="BU11" i="9" s="1"/>
  <c r="BT12" i="9"/>
  <c r="BU12" i="9" s="1"/>
  <c r="BT13" i="9"/>
  <c r="BU13" i="9" s="1"/>
  <c r="BT14" i="9"/>
  <c r="BU14" i="9" s="1"/>
  <c r="BT15" i="9"/>
  <c r="BU15" i="9" s="1"/>
  <c r="BT16" i="9"/>
  <c r="BU16" i="9" s="1"/>
  <c r="BT17" i="9"/>
  <c r="BU17" i="9" s="1"/>
  <c r="BT18" i="9"/>
  <c r="BU18" i="9" s="1"/>
  <c r="BT19" i="9"/>
  <c r="BU19" i="9" s="1"/>
  <c r="BT20" i="9"/>
  <c r="BU20" i="9" s="1"/>
  <c r="BT21" i="9"/>
  <c r="BU21" i="9" s="1"/>
  <c r="BT22" i="9"/>
  <c r="BU22" i="9" s="1"/>
  <c r="BT23" i="9"/>
  <c r="BU23" i="9" s="1"/>
  <c r="BT24" i="9"/>
  <c r="BU24" i="9" s="1"/>
  <c r="BT25" i="9"/>
  <c r="BU25" i="9" s="1"/>
  <c r="BT26" i="9"/>
  <c r="BU26" i="9" s="1"/>
  <c r="BT27" i="9"/>
  <c r="BU27" i="9" s="1"/>
  <c r="BT28" i="9"/>
  <c r="BU28" i="9" s="1"/>
  <c r="BT29" i="9"/>
  <c r="BU29" i="9" s="1"/>
  <c r="BT30" i="9"/>
  <c r="BU30" i="9" s="1"/>
  <c r="BT31" i="9"/>
  <c r="BU31" i="9" s="1"/>
  <c r="BT32" i="9"/>
  <c r="BU32" i="9" s="1"/>
  <c r="BT33" i="9"/>
  <c r="BU33" i="9" s="1"/>
  <c r="BT3" i="9"/>
  <c r="BU3" i="9" s="1"/>
  <c r="BS3" i="9"/>
  <c r="BN3" i="9"/>
  <c r="DG3" i="9" s="1"/>
  <c r="BD4" i="9"/>
  <c r="BD5" i="9"/>
  <c r="BD6" i="9"/>
  <c r="BD7" i="9"/>
  <c r="BD8" i="9"/>
  <c r="BD9" i="9"/>
  <c r="BD10" i="9"/>
  <c r="BD11" i="9"/>
  <c r="BD12" i="9"/>
  <c r="BD13" i="9"/>
  <c r="BD14" i="9"/>
  <c r="BD15" i="9"/>
  <c r="BD16" i="9"/>
  <c r="BD17" i="9"/>
  <c r="BD18" i="9"/>
  <c r="BD19" i="9"/>
  <c r="BD20" i="9"/>
  <c r="BD21" i="9"/>
  <c r="BD22" i="9"/>
  <c r="BD23" i="9"/>
  <c r="BD24" i="9"/>
  <c r="BD25" i="9"/>
  <c r="BD26" i="9"/>
  <c r="BD27" i="9"/>
  <c r="BD28" i="9"/>
  <c r="BD29" i="9"/>
  <c r="BD31" i="9"/>
  <c r="BD32" i="9"/>
  <c r="BD33" i="9"/>
  <c r="BD3" i="9"/>
  <c r="AR4" i="9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31" i="9"/>
  <c r="AR32" i="9"/>
  <c r="AR33" i="9"/>
  <c r="AR3" i="9"/>
  <c r="CK40" i="9"/>
  <c r="CK41" i="9" s="1"/>
  <c r="Y33" i="9"/>
  <c r="BU34" i="9" l="1"/>
  <c r="BT34" i="9"/>
  <c r="DH28" i="9" l="1"/>
  <c r="CP38" i="9"/>
  <c r="DH27" i="9"/>
  <c r="DH29" i="9"/>
  <c r="DH30" i="9"/>
  <c r="DH31" i="9"/>
  <c r="DH32" i="9"/>
  <c r="DH33" i="9"/>
  <c r="DH26" i="9" l="1"/>
  <c r="DH24" i="9"/>
  <c r="DH25" i="9"/>
  <c r="BS4" i="9" l="1"/>
  <c r="BS5" i="9"/>
  <c r="BS6" i="9"/>
  <c r="BS7" i="9"/>
  <c r="BS8" i="9"/>
  <c r="BS10" i="9"/>
  <c r="BS11" i="9"/>
  <c r="BS12" i="9"/>
  <c r="BS13" i="9"/>
  <c r="BS14" i="9"/>
  <c r="BS15" i="9"/>
  <c r="BS16" i="9"/>
  <c r="BS17" i="9"/>
  <c r="BS18" i="9"/>
  <c r="BS19" i="9"/>
  <c r="BS20" i="9"/>
  <c r="BS21" i="9"/>
  <c r="BS22" i="9"/>
  <c r="BS23" i="9"/>
  <c r="BS24" i="9"/>
  <c r="BS25" i="9"/>
  <c r="BS26" i="9"/>
  <c r="BS27" i="9"/>
  <c r="BS28" i="9"/>
  <c r="BS29" i="9"/>
  <c r="BS30" i="9"/>
  <c r="BS31" i="9"/>
  <c r="BS32" i="9"/>
  <c r="BS33" i="9"/>
  <c r="DH23" i="9" l="1"/>
  <c r="BK34" i="9"/>
  <c r="BL34" i="9"/>
  <c r="BM34" i="9"/>
  <c r="BN4" i="9"/>
  <c r="BN5" i="9"/>
  <c r="BN6" i="9"/>
  <c r="BN7" i="9"/>
  <c r="BN8" i="9"/>
  <c r="BN9" i="9"/>
  <c r="BN10" i="9"/>
  <c r="BN11" i="9"/>
  <c r="BN12" i="9"/>
  <c r="BN13" i="9"/>
  <c r="BN14" i="9"/>
  <c r="BN15" i="9"/>
  <c r="BN16" i="9"/>
  <c r="BN17" i="9"/>
  <c r="BN18" i="9"/>
  <c r="BN19" i="9"/>
  <c r="BN20" i="9"/>
  <c r="BN25" i="9"/>
  <c r="BN26" i="9"/>
  <c r="BN27" i="9"/>
  <c r="BN28" i="9"/>
  <c r="BN30" i="9"/>
  <c r="BN31" i="9"/>
  <c r="BN32" i="9"/>
  <c r="BN33" i="9"/>
  <c r="DG18" i="9" l="1"/>
  <c r="DG10" i="9"/>
  <c r="DG33" i="9"/>
  <c r="DG25" i="9"/>
  <c r="DG17" i="9"/>
  <c r="DG9" i="9"/>
  <c r="DG32" i="9"/>
  <c r="DG24" i="9"/>
  <c r="DG16" i="9"/>
  <c r="DG8" i="9"/>
  <c r="DG31" i="9"/>
  <c r="DG23" i="9"/>
  <c r="DG15" i="9"/>
  <c r="DG7" i="9"/>
  <c r="DG30" i="9"/>
  <c r="DG22" i="9"/>
  <c r="DG14" i="9"/>
  <c r="DG6" i="9"/>
  <c r="DG29" i="9"/>
  <c r="DG21" i="9"/>
  <c r="DG13" i="9"/>
  <c r="DG5" i="9"/>
  <c r="DG20" i="9"/>
  <c r="DG12" i="9"/>
  <c r="DG4" i="9"/>
  <c r="DG19" i="9"/>
  <c r="DG11" i="9"/>
  <c r="DG28" i="9"/>
  <c r="DG27" i="9"/>
  <c r="DG26" i="9"/>
  <c r="BN34" i="9"/>
  <c r="DH22" i="9"/>
  <c r="DH4" i="9"/>
  <c r="DH5" i="9"/>
  <c r="DH6" i="9"/>
  <c r="DH7" i="9"/>
  <c r="DH8" i="9"/>
  <c r="DH9" i="9"/>
  <c r="DH10" i="9"/>
  <c r="DH11" i="9"/>
  <c r="DH12" i="9"/>
  <c r="DH13" i="9"/>
  <c r="DH14" i="9"/>
  <c r="DH15" i="9"/>
  <c r="DH16" i="9"/>
  <c r="DH17" i="9"/>
  <c r="DH18" i="9"/>
  <c r="DH20" i="9"/>
  <c r="DH21" i="9"/>
  <c r="DH19" i="9"/>
  <c r="X34" i="9" l="1"/>
  <c r="Y20" i="9" l="1"/>
  <c r="Y19" i="9" l="1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3" i="9"/>
  <c r="DJ19" i="9"/>
  <c r="DJ20" i="9"/>
  <c r="DJ21" i="9"/>
  <c r="DJ22" i="9"/>
  <c r="DJ23" i="9"/>
  <c r="DJ24" i="9"/>
  <c r="DJ25" i="9"/>
  <c r="DJ26" i="9"/>
  <c r="DJ27" i="9"/>
  <c r="DJ28" i="9"/>
  <c r="DJ29" i="9"/>
  <c r="DJ30" i="9"/>
  <c r="DJ31" i="9"/>
  <c r="DJ32" i="9"/>
  <c r="DJ33" i="9"/>
  <c r="DJ16" i="9"/>
  <c r="DJ17" i="9"/>
  <c r="DJ18" i="9"/>
  <c r="DJ15" i="9"/>
  <c r="S34" i="9"/>
  <c r="V34" i="9"/>
  <c r="V35" i="9" s="1"/>
  <c r="W34" i="9"/>
  <c r="DJ34" i="9" l="1"/>
  <c r="BS9" i="9"/>
  <c r="BS34" i="9" s="1"/>
  <c r="CN18" i="9" l="1"/>
  <c r="CN19" i="9"/>
  <c r="Y18" i="9" l="1"/>
  <c r="Y21" i="9"/>
  <c r="Y22" i="9"/>
  <c r="Y23" i="9"/>
  <c r="Y24" i="9"/>
  <c r="Y25" i="9"/>
  <c r="Y26" i="9"/>
  <c r="Y27" i="9"/>
  <c r="Y28" i="9"/>
  <c r="Y29" i="9"/>
  <c r="Y30" i="9"/>
  <c r="Y31" i="9"/>
  <c r="Y32" i="9"/>
  <c r="DK31" i="9" l="1"/>
  <c r="CN30" i="9" l="1"/>
  <c r="BB34" i="9" l="1"/>
  <c r="CN4" i="9" l="1"/>
  <c r="CO4" i="9"/>
  <c r="CN5" i="9"/>
  <c r="CO5" i="9"/>
  <c r="CN6" i="9"/>
  <c r="CO6" i="9"/>
  <c r="CU6" i="9" s="1"/>
  <c r="CN7" i="9"/>
  <c r="CO7" i="9"/>
  <c r="CN8" i="9"/>
  <c r="CO8" i="9"/>
  <c r="CN9" i="9"/>
  <c r="CO9" i="9"/>
  <c r="CN10" i="9"/>
  <c r="CO10" i="9"/>
  <c r="CN11" i="9"/>
  <c r="CO11" i="9"/>
  <c r="CN12" i="9"/>
  <c r="CO12" i="9"/>
  <c r="CN13" i="9"/>
  <c r="CO13" i="9"/>
  <c r="CN14" i="9"/>
  <c r="CO14" i="9"/>
  <c r="CN15" i="9"/>
  <c r="CO15" i="9"/>
  <c r="CN16" i="9"/>
  <c r="CO16" i="9"/>
  <c r="CO17" i="9"/>
  <c r="CU17" i="9" s="1"/>
  <c r="CO18" i="9"/>
  <c r="CU18" i="9" s="1"/>
  <c r="CO19" i="9"/>
  <c r="CU19" i="9" s="1"/>
  <c r="CN20" i="9"/>
  <c r="CO20" i="9"/>
  <c r="CN21" i="9"/>
  <c r="CO21" i="9"/>
  <c r="CN22" i="9"/>
  <c r="CO22" i="9"/>
  <c r="CN23" i="9"/>
  <c r="CO23" i="9"/>
  <c r="CN24" i="9"/>
  <c r="CO24" i="9"/>
  <c r="CN25" i="9"/>
  <c r="CO25" i="9"/>
  <c r="CN26" i="9"/>
  <c r="CO26" i="9"/>
  <c r="CN27" i="9"/>
  <c r="CO27" i="9"/>
  <c r="CN28" i="9"/>
  <c r="CO28" i="9"/>
  <c r="CN29" i="9"/>
  <c r="CO29" i="9"/>
  <c r="CO30" i="9"/>
  <c r="CU30" i="9" s="1"/>
  <c r="CN31" i="9"/>
  <c r="CO31" i="9"/>
  <c r="CN32" i="9"/>
  <c r="CO32" i="9"/>
  <c r="CN33" i="9"/>
  <c r="CO33" i="9"/>
  <c r="T4" i="11"/>
  <c r="CU29" i="9" l="1"/>
  <c r="CU25" i="9"/>
  <c r="CU21" i="9"/>
  <c r="CU7" i="9"/>
  <c r="CU24" i="9"/>
  <c r="CU20" i="9"/>
  <c r="CU14" i="9"/>
  <c r="CU31" i="9"/>
  <c r="CU13" i="9"/>
  <c r="CU26" i="9"/>
  <c r="CU33" i="9"/>
  <c r="CU15" i="9"/>
  <c r="CU11" i="9"/>
  <c r="CU28" i="9"/>
  <c r="CU32" i="9"/>
  <c r="CT36" i="9" s="1"/>
  <c r="CU10" i="9"/>
  <c r="CU27" i="9"/>
  <c r="CU23" i="9"/>
  <c r="CU9" i="9"/>
  <c r="CU22" i="9"/>
  <c r="CU16" i="9"/>
  <c r="CU12" i="9"/>
  <c r="CU8" i="9"/>
  <c r="CU5" i="9"/>
  <c r="CU4" i="9"/>
  <c r="CO3" i="9"/>
  <c r="CN3" i="9"/>
  <c r="CU3" i="9" s="1"/>
  <c r="B36" i="9"/>
  <c r="B37" i="9" s="1"/>
  <c r="C37" i="9"/>
  <c r="D37" i="9"/>
  <c r="E37" i="9"/>
  <c r="F37" i="9"/>
  <c r="AK34" i="9" l="1"/>
  <c r="AV34" i="9" l="1"/>
  <c r="AT34" i="9"/>
  <c r="AX34" i="9"/>
  <c r="AY34" i="9"/>
  <c r="AZ34" i="9"/>
  <c r="BA34" i="9"/>
  <c r="AW34" i="9"/>
  <c r="BC34" i="9"/>
  <c r="Z34" i="9" l="1"/>
  <c r="AA34" i="9"/>
  <c r="AC34" i="9"/>
  <c r="AD34" i="9"/>
  <c r="AE34" i="9"/>
  <c r="DK6" i="9" l="1"/>
  <c r="DF6" i="9" l="1"/>
  <c r="DF7" i="9"/>
  <c r="DF8" i="9"/>
  <c r="DF9" i="9"/>
  <c r="DF10" i="9"/>
  <c r="DF11" i="9"/>
  <c r="DF12" i="9"/>
  <c r="DF13" i="9"/>
  <c r="DF14" i="9"/>
  <c r="DF15" i="9"/>
  <c r="DF16" i="9"/>
  <c r="DF17" i="9"/>
  <c r="DF18" i="9"/>
  <c r="DF19" i="9"/>
  <c r="DF20" i="9"/>
  <c r="DF21" i="9"/>
  <c r="DF22" i="9"/>
  <c r="DF23" i="9"/>
  <c r="DF24" i="9"/>
  <c r="DF25" i="9"/>
  <c r="DF26" i="9"/>
  <c r="DF27" i="9"/>
  <c r="DF28" i="9"/>
  <c r="DF29" i="9"/>
  <c r="DF30" i="9"/>
  <c r="DF31" i="9"/>
  <c r="DF32" i="9"/>
  <c r="DF33" i="9"/>
  <c r="DF4" i="9"/>
  <c r="DF5" i="9"/>
  <c r="CM34" i="9" l="1"/>
  <c r="CP34" i="9"/>
  <c r="CQ34" i="9"/>
  <c r="CS34" i="9"/>
  <c r="CV34" i="9"/>
  <c r="F4" i="9" l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1" i="9"/>
  <c r="F32" i="9"/>
  <c r="F33" i="9"/>
  <c r="F3" i="9"/>
  <c r="CJ34" i="9" l="1"/>
  <c r="CK34" i="9"/>
  <c r="CO34" i="9"/>
  <c r="CN34" i="9"/>
  <c r="U7" i="11"/>
  <c r="U8" i="11"/>
  <c r="U10" i="11"/>
  <c r="U4" i="11"/>
  <c r="T7" i="11"/>
  <c r="T34" i="11"/>
  <c r="T12" i="11"/>
  <c r="T14" i="11"/>
  <c r="T22" i="11"/>
  <c r="U22" i="11"/>
  <c r="U23" i="11"/>
  <c r="U33" i="11"/>
  <c r="U34" i="11"/>
  <c r="DK7" i="9"/>
  <c r="DK8" i="9"/>
  <c r="DK9" i="9"/>
  <c r="DK10" i="9"/>
  <c r="DK11" i="9"/>
  <c r="DK12" i="9"/>
  <c r="DK13" i="9"/>
  <c r="DK14" i="9"/>
  <c r="DK15" i="9"/>
  <c r="DK16" i="9"/>
  <c r="DK17" i="9"/>
  <c r="DK18" i="9"/>
  <c r="DK19" i="9"/>
  <c r="DK20" i="9"/>
  <c r="DK21" i="9"/>
  <c r="DK22" i="9"/>
  <c r="DK23" i="9"/>
  <c r="DK24" i="9"/>
  <c r="DK25" i="9"/>
  <c r="DK26" i="9"/>
  <c r="DK27" i="9"/>
  <c r="DK28" i="9"/>
  <c r="DK29" i="9"/>
  <c r="DK30" i="9"/>
  <c r="DK32" i="9"/>
  <c r="DK33" i="9"/>
  <c r="DE4" i="9"/>
  <c r="DE5" i="9"/>
  <c r="DE6" i="9"/>
  <c r="DL6" i="9" s="1"/>
  <c r="DE7" i="9"/>
  <c r="DE8" i="9"/>
  <c r="DE9" i="9"/>
  <c r="DE10" i="9"/>
  <c r="DE11" i="9"/>
  <c r="DE12" i="9"/>
  <c r="DE13" i="9"/>
  <c r="DE14" i="9"/>
  <c r="DE15" i="9"/>
  <c r="DE16" i="9"/>
  <c r="DE17" i="9"/>
  <c r="DE18" i="9"/>
  <c r="DE19" i="9"/>
  <c r="DE20" i="9"/>
  <c r="DE21" i="9"/>
  <c r="DE22" i="9"/>
  <c r="DE23" i="9"/>
  <c r="DE24" i="9"/>
  <c r="DE25" i="9"/>
  <c r="DE26" i="9"/>
  <c r="DE27" i="9"/>
  <c r="DE28" i="9"/>
  <c r="DE29" i="9"/>
  <c r="DE31" i="9"/>
  <c r="DE32" i="9"/>
  <c r="DE33" i="9"/>
  <c r="DD4" i="9"/>
  <c r="DD5" i="9"/>
  <c r="DD6" i="9"/>
  <c r="DD7" i="9"/>
  <c r="DD8" i="9"/>
  <c r="DD9" i="9"/>
  <c r="DD10" i="9"/>
  <c r="DL10" i="9" s="1"/>
  <c r="DD11" i="9"/>
  <c r="DD12" i="9"/>
  <c r="DD13" i="9"/>
  <c r="DD14" i="9"/>
  <c r="DD15" i="9"/>
  <c r="DD16" i="9"/>
  <c r="DD17" i="9"/>
  <c r="DD18" i="9"/>
  <c r="DL18" i="9" s="1"/>
  <c r="DD19" i="9"/>
  <c r="DD20" i="9"/>
  <c r="DD21" i="9"/>
  <c r="DD22" i="9"/>
  <c r="DD23" i="9"/>
  <c r="DD24" i="9"/>
  <c r="DD25" i="9"/>
  <c r="DD26" i="9"/>
  <c r="DD27" i="9"/>
  <c r="DD28" i="9"/>
  <c r="DD29" i="9"/>
  <c r="DD31" i="9"/>
  <c r="DD32" i="9"/>
  <c r="DD33" i="9"/>
  <c r="CZ18" i="9"/>
  <c r="CZ29" i="9"/>
  <c r="DL26" i="9" l="1"/>
  <c r="DL27" i="9"/>
  <c r="DL19" i="9"/>
  <c r="DL11" i="9"/>
  <c r="DL25" i="9"/>
  <c r="DL16" i="9"/>
  <c r="DL17" i="9"/>
  <c r="DL32" i="9"/>
  <c r="DL31" i="9"/>
  <c r="DL23" i="9"/>
  <c r="DL15" i="9"/>
  <c r="DL7" i="9"/>
  <c r="DL30" i="9"/>
  <c r="DL22" i="9"/>
  <c r="DL14" i="9"/>
  <c r="DL33" i="9"/>
  <c r="DL13" i="9"/>
  <c r="DL9" i="9"/>
  <c r="DL24" i="9"/>
  <c r="DL8" i="9"/>
  <c r="DL29" i="9"/>
  <c r="DL21" i="9"/>
  <c r="DL28" i="9"/>
  <c r="DL20" i="9"/>
  <c r="DL12" i="9"/>
  <c r="T33" i="11"/>
  <c r="T32" i="11"/>
  <c r="U32" i="11"/>
  <c r="U31" i="11"/>
  <c r="T31" i="11"/>
  <c r="T30" i="11"/>
  <c r="U30" i="11"/>
  <c r="U29" i="11"/>
  <c r="T29" i="11"/>
  <c r="T28" i="11"/>
  <c r="U28" i="11"/>
  <c r="U27" i="11"/>
  <c r="T27" i="11"/>
  <c r="U26" i="11"/>
  <c r="T26" i="11"/>
  <c r="U25" i="11"/>
  <c r="T25" i="11"/>
  <c r="T23" i="11"/>
  <c r="U24" i="11"/>
  <c r="T24" i="11"/>
  <c r="U21" i="11"/>
  <c r="T21" i="11"/>
  <c r="U20" i="11"/>
  <c r="T20" i="11"/>
  <c r="U19" i="11"/>
  <c r="T19" i="11"/>
  <c r="T18" i="11"/>
  <c r="U18" i="11"/>
  <c r="U17" i="11"/>
  <c r="T17" i="11"/>
  <c r="T5" i="11"/>
  <c r="DE3" i="9"/>
  <c r="U16" i="11"/>
  <c r="T16" i="11"/>
  <c r="U15" i="11"/>
  <c r="T15" i="11"/>
  <c r="U14" i="11"/>
  <c r="U13" i="11"/>
  <c r="T13" i="11"/>
  <c r="U12" i="11"/>
  <c r="U11" i="11"/>
  <c r="T11" i="11"/>
  <c r="T10" i="11"/>
  <c r="T8" i="11"/>
  <c r="U9" i="11"/>
  <c r="T9" i="11"/>
  <c r="DD3" i="9"/>
  <c r="U5" i="11"/>
  <c r="U6" i="11"/>
  <c r="T6" i="11"/>
  <c r="BO30" i="9"/>
  <c r="BP30" i="9"/>
  <c r="BQ30" i="9"/>
  <c r="U35" i="11" l="1"/>
  <c r="T35" i="11"/>
  <c r="DL3" i="9"/>
  <c r="DM3" i="9" s="1"/>
  <c r="BO27" i="9"/>
  <c r="DM20" i="9"/>
  <c r="BR4" i="9" l="1"/>
  <c r="BR5" i="9"/>
  <c r="BR6" i="9"/>
  <c r="BR7" i="9"/>
  <c r="BR8" i="9"/>
  <c r="BR9" i="9"/>
  <c r="BR10" i="9"/>
  <c r="BR11" i="9"/>
  <c r="BR12" i="9"/>
  <c r="BR13" i="9"/>
  <c r="BR14" i="9"/>
  <c r="BR15" i="9"/>
  <c r="BR16" i="9"/>
  <c r="BR17" i="9"/>
  <c r="BR18" i="9"/>
  <c r="BR19" i="9"/>
  <c r="BR20" i="9"/>
  <c r="BR21" i="9"/>
  <c r="BR22" i="9"/>
  <c r="BR23" i="9"/>
  <c r="BR24" i="9"/>
  <c r="BR25" i="9"/>
  <c r="BR26" i="9"/>
  <c r="BR27" i="9"/>
  <c r="BR28" i="9"/>
  <c r="BR29" i="9"/>
  <c r="BR30" i="9"/>
  <c r="BR31" i="9"/>
  <c r="BR32" i="9"/>
  <c r="BR33" i="9"/>
  <c r="BR3" i="9"/>
  <c r="BO4" i="9"/>
  <c r="BP4" i="9"/>
  <c r="BQ4" i="9"/>
  <c r="BO5" i="9"/>
  <c r="BP5" i="9"/>
  <c r="BQ5" i="9"/>
  <c r="BO6" i="9"/>
  <c r="BP6" i="9"/>
  <c r="BQ6" i="9"/>
  <c r="BO7" i="9"/>
  <c r="BP7" i="9"/>
  <c r="BQ7" i="9"/>
  <c r="BO8" i="9"/>
  <c r="BP8" i="9"/>
  <c r="BQ8" i="9"/>
  <c r="BO9" i="9"/>
  <c r="BP9" i="9"/>
  <c r="BQ9" i="9"/>
  <c r="BO10" i="9"/>
  <c r="BP10" i="9"/>
  <c r="BQ10" i="9"/>
  <c r="BO11" i="9"/>
  <c r="BP11" i="9"/>
  <c r="BQ11" i="9"/>
  <c r="BO12" i="9"/>
  <c r="BP12" i="9"/>
  <c r="BQ12" i="9"/>
  <c r="BO13" i="9"/>
  <c r="BP13" i="9"/>
  <c r="BQ13" i="9"/>
  <c r="BO14" i="9"/>
  <c r="BP14" i="9"/>
  <c r="BQ14" i="9"/>
  <c r="BO15" i="9"/>
  <c r="BP15" i="9"/>
  <c r="BQ15" i="9"/>
  <c r="BO16" i="9"/>
  <c r="BP16" i="9"/>
  <c r="BQ16" i="9"/>
  <c r="BO17" i="9"/>
  <c r="BP17" i="9"/>
  <c r="BQ17" i="9"/>
  <c r="BO18" i="9"/>
  <c r="BP18" i="9"/>
  <c r="BQ18" i="9"/>
  <c r="BO19" i="9"/>
  <c r="BP19" i="9"/>
  <c r="BQ19" i="9"/>
  <c r="BO20" i="9"/>
  <c r="BP20" i="9"/>
  <c r="BQ20" i="9"/>
  <c r="BO21" i="9"/>
  <c r="BP21" i="9"/>
  <c r="BQ21" i="9"/>
  <c r="BO22" i="9"/>
  <c r="BP22" i="9"/>
  <c r="BQ22" i="9"/>
  <c r="BO23" i="9"/>
  <c r="BP23" i="9"/>
  <c r="BQ23" i="9"/>
  <c r="BO24" i="9"/>
  <c r="BP24" i="9"/>
  <c r="BQ24" i="9"/>
  <c r="BO25" i="9"/>
  <c r="BP25" i="9"/>
  <c r="BQ25" i="9"/>
  <c r="BO26" i="9"/>
  <c r="BP26" i="9"/>
  <c r="BQ26" i="9"/>
  <c r="BP27" i="9"/>
  <c r="BQ27" i="9"/>
  <c r="BO28" i="9"/>
  <c r="BP28" i="9"/>
  <c r="BQ28" i="9"/>
  <c r="BO29" i="9"/>
  <c r="BP29" i="9"/>
  <c r="BQ29" i="9"/>
  <c r="BO31" i="9"/>
  <c r="BP31" i="9"/>
  <c r="BQ31" i="9"/>
  <c r="BO32" i="9"/>
  <c r="BP32" i="9"/>
  <c r="BQ32" i="9"/>
  <c r="BO33" i="9"/>
  <c r="BP33" i="9"/>
  <c r="BQ33" i="9"/>
  <c r="BQ3" i="9"/>
  <c r="BP3" i="9"/>
  <c r="BO3" i="9"/>
  <c r="BP34" i="9" l="1"/>
  <c r="BR34" i="9"/>
  <c r="BQ34" i="9"/>
  <c r="BO34" i="9"/>
  <c r="DN34" i="9"/>
  <c r="DQ34" i="9"/>
  <c r="DM18" i="9"/>
  <c r="DM19" i="9"/>
  <c r="DM21" i="9"/>
  <c r="DM22" i="9"/>
  <c r="DM23" i="9"/>
  <c r="DM24" i="9"/>
  <c r="DM25" i="9"/>
  <c r="DM26" i="9"/>
  <c r="DM27" i="9"/>
  <c r="DM28" i="9"/>
  <c r="DM29" i="9"/>
  <c r="DM30" i="9"/>
  <c r="DM31" i="9"/>
  <c r="DM32" i="9"/>
  <c r="DM33" i="9"/>
  <c r="DM6" i="9"/>
  <c r="DM7" i="9"/>
  <c r="DM8" i="9"/>
  <c r="DM9" i="9"/>
  <c r="DM10" i="9"/>
  <c r="DM11" i="9"/>
  <c r="DM12" i="9"/>
  <c r="DM13" i="9"/>
  <c r="DM14" i="9"/>
  <c r="DM15" i="9"/>
  <c r="DM16" i="9"/>
  <c r="DM17" i="9" l="1"/>
  <c r="DP4" i="9"/>
  <c r="DP32" i="9"/>
  <c r="DP30" i="9"/>
  <c r="DP28" i="9"/>
  <c r="DP26" i="9"/>
  <c r="DP24" i="9"/>
  <c r="DP22" i="9"/>
  <c r="DP8" i="9"/>
  <c r="DP10" i="9"/>
  <c r="DP7" i="9"/>
  <c r="DP5" i="9"/>
  <c r="DP29" i="9"/>
  <c r="DP27" i="9"/>
  <c r="DP25" i="9"/>
  <c r="DP23" i="9"/>
  <c r="DP21" i="9"/>
  <c r="DP19" i="9"/>
  <c r="DP11" i="9"/>
  <c r="DP33" i="9"/>
  <c r="DP6" i="9"/>
  <c r="DP9" i="9"/>
  <c r="DP31" i="9"/>
  <c r="DP20" i="9"/>
  <c r="DP15" i="9"/>
  <c r="DP12" i="9"/>
  <c r="DP18" i="9"/>
  <c r="DP17" i="9"/>
  <c r="DP16" i="9"/>
  <c r="DP14" i="9"/>
  <c r="DP13" i="9"/>
  <c r="AU34" i="9"/>
  <c r="CB34" i="9"/>
  <c r="AN34" i="9"/>
  <c r="AO34" i="9"/>
  <c r="AQ34" i="9"/>
  <c r="AR34" i="9"/>
  <c r="AP34" i="9"/>
  <c r="DP3" i="9" l="1"/>
  <c r="DP34" i="9" s="1"/>
  <c r="G36" i="11" l="1"/>
  <c r="D41" i="11"/>
  <c r="F43" i="11"/>
  <c r="F42" i="11"/>
  <c r="F44" i="11" l="1"/>
  <c r="CY3" i="9" l="1"/>
  <c r="BC37" i="9" l="1"/>
  <c r="BD34" i="9" l="1"/>
  <c r="BA41" i="9"/>
  <c r="BD37" i="9" l="1"/>
  <c r="CZ26" i="9" l="1"/>
  <c r="G37" i="9" l="1"/>
  <c r="G24" i="9"/>
  <c r="BE34" i="9" l="1"/>
  <c r="BF34" i="9"/>
  <c r="BG34" i="9"/>
  <c r="BV34" i="9"/>
  <c r="BW34" i="9"/>
  <c r="BX34" i="9"/>
  <c r="BI34" i="9" l="1"/>
  <c r="BH34" i="9"/>
  <c r="N36" i="11"/>
  <c r="F36" i="11" l="1"/>
  <c r="C36" i="11"/>
  <c r="D39" i="11"/>
  <c r="O36" i="11"/>
  <c r="D40" i="11"/>
  <c r="CZ10" i="9" l="1"/>
  <c r="CZ8" i="9"/>
  <c r="CZ11" i="9"/>
  <c r="CZ12" i="9"/>
  <c r="CZ13" i="9"/>
  <c r="CZ14" i="9"/>
  <c r="CZ15" i="9"/>
  <c r="CZ16" i="9"/>
  <c r="CZ17" i="9"/>
  <c r="CZ19" i="9"/>
  <c r="CZ20" i="9"/>
  <c r="CZ21" i="9"/>
  <c r="CZ22" i="9"/>
  <c r="CZ23" i="9"/>
  <c r="CZ24" i="9"/>
  <c r="CZ25" i="9"/>
  <c r="CZ27" i="9"/>
  <c r="CZ28" i="9"/>
  <c r="CZ30" i="9"/>
  <c r="CZ31" i="9"/>
  <c r="CZ32" i="9"/>
  <c r="CZ33" i="9"/>
  <c r="CZ9" i="9"/>
  <c r="CZ7" i="9"/>
  <c r="CZ6" i="9"/>
  <c r="DH34" i="9" l="1"/>
  <c r="DG34" i="9"/>
  <c r="CK35" i="9"/>
  <c r="C34" i="9" l="1"/>
  <c r="D34" i="9"/>
  <c r="E34" i="9"/>
  <c r="B34" i="9"/>
  <c r="D42" i="11" l="1"/>
  <c r="G33" i="9" l="1"/>
  <c r="H33" i="9"/>
  <c r="I33" i="9"/>
  <c r="J33" i="9"/>
  <c r="CV37" i="9"/>
  <c r="K33" i="9" l="1"/>
  <c r="L33" i="9" s="1"/>
  <c r="N34" i="9" l="1"/>
  <c r="O34" i="9"/>
  <c r="P34" i="9"/>
  <c r="Q34" i="9"/>
  <c r="R34" i="9"/>
  <c r="AI34" i="9"/>
  <c r="AM34" i="9"/>
  <c r="BB35" i="9"/>
  <c r="CK38" i="9"/>
  <c r="DA34" i="9"/>
  <c r="DC34" i="9"/>
  <c r="BC39" i="9" l="1"/>
  <c r="Y34" i="9" l="1"/>
  <c r="A5" i="11" l="1"/>
  <c r="A6" i="11" s="1"/>
  <c r="A7" i="11" s="1"/>
  <c r="B36" i="11" l="1"/>
  <c r="A8" i="11"/>
  <c r="A9" i="11" l="1"/>
  <c r="A10" i="11" l="1"/>
  <c r="A11" i="11" l="1"/>
  <c r="A12" i="11" l="1"/>
  <c r="A13" i="11" l="1"/>
  <c r="A14" i="11" l="1"/>
  <c r="A15" i="11" l="1"/>
  <c r="A16" i="11" l="1"/>
  <c r="A17" i="11" l="1"/>
  <c r="A18" i="11" l="1"/>
  <c r="A19" i="11" l="1"/>
  <c r="A20" i="11" l="1"/>
  <c r="A21" i="11" s="1"/>
  <c r="A22" i="11" l="1"/>
  <c r="A23" i="11" l="1"/>
  <c r="A24" i="11" l="1"/>
  <c r="A25" i="11" l="1"/>
  <c r="A26" i="11" l="1"/>
  <c r="A27" i="11" l="1"/>
  <c r="A28" i="11" l="1"/>
  <c r="A29" i="11" l="1"/>
  <c r="A30" i="11" l="1"/>
  <c r="DD34" i="9" l="1"/>
  <c r="DF34" i="9"/>
  <c r="DE34" i="9"/>
  <c r="A31" i="11"/>
  <c r="A32" i="11" l="1"/>
  <c r="A33" i="11" l="1"/>
  <c r="A34" i="11" s="1"/>
  <c r="J17" i="9"/>
  <c r="I17" i="9"/>
  <c r="H17" i="9"/>
  <c r="G17" i="9"/>
  <c r="K17" i="9" l="1"/>
  <c r="L17" i="9" s="1"/>
  <c r="J18" i="9" l="1"/>
  <c r="I18" i="9"/>
  <c r="H18" i="9"/>
  <c r="G18" i="9"/>
  <c r="K18" i="9" l="1"/>
  <c r="L18" i="9" s="1"/>
  <c r="CV38" i="9" l="1"/>
  <c r="AJ34" i="9"/>
  <c r="CX34" i="9" l="1"/>
  <c r="F34" i="9" l="1"/>
  <c r="AM37" i="9"/>
  <c r="AN37" i="9"/>
  <c r="AO37" i="9"/>
  <c r="BB38" i="9" l="1"/>
  <c r="G16" i="9" l="1"/>
  <c r="G19" i="9"/>
  <c r="G20" i="9"/>
  <c r="G21" i="9"/>
  <c r="G22" i="9"/>
  <c r="G23" i="9"/>
  <c r="G25" i="9"/>
  <c r="G26" i="9"/>
  <c r="G27" i="9"/>
  <c r="G28" i="9"/>
  <c r="G29" i="9"/>
  <c r="G30" i="9"/>
  <c r="G31" i="9"/>
  <c r="G32" i="9"/>
  <c r="G7" i="9"/>
  <c r="G8" i="9"/>
  <c r="G9" i="9"/>
  <c r="G10" i="9"/>
  <c r="G11" i="9"/>
  <c r="G12" i="9"/>
  <c r="G13" i="9"/>
  <c r="G14" i="9"/>
  <c r="G15" i="9"/>
  <c r="H31" i="9" l="1"/>
  <c r="I31" i="9"/>
  <c r="J31" i="9"/>
  <c r="H32" i="9"/>
  <c r="I32" i="9"/>
  <c r="J32" i="9"/>
  <c r="K31" i="9" l="1"/>
  <c r="L31" i="9" s="1"/>
  <c r="K32" i="9"/>
  <c r="L32" i="9" s="1"/>
  <c r="J30" i="9" l="1"/>
  <c r="I30" i="9"/>
  <c r="H30" i="9"/>
  <c r="J29" i="9"/>
  <c r="I29" i="9"/>
  <c r="H29" i="9"/>
  <c r="J28" i="9"/>
  <c r="I28" i="9"/>
  <c r="H28" i="9"/>
  <c r="J27" i="9"/>
  <c r="I27" i="9"/>
  <c r="H27" i="9"/>
  <c r="J26" i="9"/>
  <c r="I26" i="9"/>
  <c r="H26" i="9"/>
  <c r="J25" i="9"/>
  <c r="I25" i="9"/>
  <c r="H25" i="9"/>
  <c r="J24" i="9"/>
  <c r="I24" i="9"/>
  <c r="H24" i="9"/>
  <c r="J23" i="9"/>
  <c r="I23" i="9"/>
  <c r="H23" i="9"/>
  <c r="J22" i="9"/>
  <c r="I22" i="9"/>
  <c r="H22" i="9"/>
  <c r="J21" i="9"/>
  <c r="I21" i="9"/>
  <c r="H21" i="9"/>
  <c r="J20" i="9"/>
  <c r="I20" i="9"/>
  <c r="H20" i="9"/>
  <c r="J19" i="9"/>
  <c r="I19" i="9"/>
  <c r="H19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G6" i="9"/>
  <c r="J5" i="9"/>
  <c r="I5" i="9"/>
  <c r="H5" i="9"/>
  <c r="G5" i="9"/>
  <c r="J4" i="9"/>
  <c r="I4" i="9"/>
  <c r="H4" i="9"/>
  <c r="G4" i="9"/>
  <c r="A4" i="9"/>
  <c r="A5" i="9" s="1"/>
  <c r="A6" i="9" s="1"/>
  <c r="A7" i="9" s="1"/>
  <c r="A8" i="9" s="1"/>
  <c r="A9" i="9" s="1"/>
  <c r="J3" i="9"/>
  <c r="I3" i="9"/>
  <c r="H3" i="9"/>
  <c r="G3" i="9"/>
  <c r="H34" i="9" l="1"/>
  <c r="G34" i="9"/>
  <c r="I34" i="9"/>
  <c r="J34" i="9"/>
  <c r="K9" i="9"/>
  <c r="L9" i="9" s="1"/>
  <c r="K21" i="9"/>
  <c r="L21" i="9" s="1"/>
  <c r="K29" i="9"/>
  <c r="K24" i="9"/>
  <c r="L24" i="9" s="1"/>
  <c r="K16" i="9"/>
  <c r="L16" i="9" s="1"/>
  <c r="K15" i="9"/>
  <c r="L15" i="9" s="1"/>
  <c r="A10" i="9"/>
  <c r="A11" i="9" s="1"/>
  <c r="K7" i="9"/>
  <c r="L7" i="9" s="1"/>
  <c r="K6" i="9"/>
  <c r="L6" i="9" s="1"/>
  <c r="K5" i="9"/>
  <c r="L5" i="9" s="1"/>
  <c r="K4" i="9"/>
  <c r="L4" i="9" s="1"/>
  <c r="K10" i="9"/>
  <c r="L10" i="9" s="1"/>
  <c r="K11" i="9"/>
  <c r="L11" i="9" s="1"/>
  <c r="K8" i="9"/>
  <c r="L8" i="9" s="1"/>
  <c r="K14" i="9"/>
  <c r="L14" i="9" s="1"/>
  <c r="K12" i="9"/>
  <c r="K13" i="9"/>
  <c r="L13" i="9" s="1"/>
  <c r="K19" i="9"/>
  <c r="L19" i="9" s="1"/>
  <c r="K30" i="9"/>
  <c r="L30" i="9" s="1"/>
  <c r="K28" i="9"/>
  <c r="L28" i="9" s="1"/>
  <c r="K27" i="9"/>
  <c r="L27" i="9" s="1"/>
  <c r="K26" i="9"/>
  <c r="L26" i="9" s="1"/>
  <c r="K25" i="9"/>
  <c r="L25" i="9" s="1"/>
  <c r="K23" i="9"/>
  <c r="L23" i="9" s="1"/>
  <c r="K22" i="9"/>
  <c r="L22" i="9" s="1"/>
  <c r="K20" i="9"/>
  <c r="L20" i="9" s="1"/>
  <c r="K3" i="9"/>
  <c r="L12" i="9" l="1"/>
  <c r="K34" i="9"/>
  <c r="K35" i="9" s="1"/>
  <c r="L3" i="9"/>
  <c r="L29" i="9"/>
  <c r="A12" i="9"/>
  <c r="A13" i="9" s="1"/>
  <c r="A14" i="9" s="1"/>
  <c r="A15" i="9" s="1"/>
  <c r="A16" i="9" s="1"/>
  <c r="AJ23" i="1"/>
  <c r="AJ22" i="1"/>
  <c r="AJ21" i="1"/>
  <c r="AK21" i="1" s="1"/>
  <c r="AI21" i="1"/>
  <c r="AJ20" i="1"/>
  <c r="AK20" i="1" s="1"/>
  <c r="AI20" i="1"/>
  <c r="AJ19" i="1"/>
  <c r="AK19" i="1" s="1"/>
  <c r="AI19" i="1"/>
  <c r="AJ18" i="1"/>
  <c r="AK18" i="1" s="1"/>
  <c r="AI18" i="1"/>
  <c r="AJ17" i="1"/>
  <c r="AK17" i="1" s="1"/>
  <c r="AI17" i="1"/>
  <c r="AJ16" i="1"/>
  <c r="AK16" i="1" s="1"/>
  <c r="AI16" i="1"/>
  <c r="AJ15" i="1"/>
  <c r="AK15" i="1" s="1"/>
  <c r="AI15" i="1"/>
  <c r="AJ14" i="1"/>
  <c r="AK14" i="1" s="1"/>
  <c r="AI14" i="1"/>
  <c r="AJ13" i="1"/>
  <c r="AK13" i="1" s="1"/>
  <c r="AI13" i="1"/>
  <c r="AJ12" i="1"/>
  <c r="AK12" i="1" s="1"/>
  <c r="AI12" i="1"/>
  <c r="AJ11" i="1"/>
  <c r="AK11" i="1" s="1"/>
  <c r="AI11" i="1"/>
  <c r="AJ10" i="1"/>
  <c r="AK10" i="1" s="1"/>
  <c r="AI10" i="1"/>
  <c r="AJ9" i="1"/>
  <c r="AK9" i="1" s="1"/>
  <c r="AI9" i="1"/>
  <c r="AJ8" i="1"/>
  <c r="AK8" i="1" s="1"/>
  <c r="AI8" i="1"/>
  <c r="AJ7" i="1"/>
  <c r="AK7" i="1" s="1"/>
  <c r="AI7" i="1"/>
  <c r="AJ6" i="1"/>
  <c r="AK6" i="1" s="1"/>
  <c r="AI6" i="1"/>
  <c r="AJ5" i="1"/>
  <c r="AK5" i="1" s="1"/>
  <c r="AI5" i="1"/>
  <c r="AJ4" i="1"/>
  <c r="AK4" i="1" s="1"/>
  <c r="AI4" i="1"/>
  <c r="AJ3" i="1"/>
  <c r="AK3" i="1" s="1"/>
  <c r="AI3" i="1"/>
  <c r="L34" i="9" l="1"/>
  <c r="A17" i="9"/>
  <c r="A18" i="9" s="1"/>
  <c r="A19" i="9" s="1"/>
  <c r="A20" i="9" s="1"/>
  <c r="A21" i="9" s="1"/>
  <c r="A22" i="9" s="1"/>
  <c r="A23" i="9" s="1"/>
  <c r="A24" i="9" s="1"/>
  <c r="A25" i="9" s="1"/>
  <c r="A26" i="9" l="1"/>
  <c r="A27" i="9" s="1"/>
  <c r="A28" i="9" s="1"/>
  <c r="A29" i="9" s="1"/>
  <c r="A30" i="9" s="1"/>
  <c r="A31" i="9" s="1"/>
  <c r="A32" i="9" s="1"/>
  <c r="A33" i="9" s="1"/>
  <c r="CZ3" i="9" l="1"/>
  <c r="DB3" i="9" s="1"/>
  <c r="CW4" i="9" l="1"/>
  <c r="CY4" i="9" l="1"/>
  <c r="AS34" i="9" l="1"/>
  <c r="DK5" i="9"/>
  <c r="DL5" i="9" s="1"/>
  <c r="DK4" i="9"/>
  <c r="DL4" i="9" s="1"/>
  <c r="DM4" i="9" l="1"/>
  <c r="CZ4" i="9"/>
  <c r="DB4" i="9" s="1"/>
  <c r="CW5" i="9" s="1"/>
  <c r="CY5" i="9" s="1"/>
  <c r="CZ5" i="9"/>
  <c r="CL34" i="9"/>
  <c r="BB37" i="9" s="1"/>
  <c r="DK34" i="9"/>
  <c r="DM5" i="9" l="1"/>
  <c r="DM34" i="9" s="1"/>
  <c r="DL34" i="9"/>
  <c r="DO34" i="9"/>
  <c r="CZ34" i="9"/>
  <c r="CU34" i="9"/>
  <c r="CK37" i="9" s="1"/>
  <c r="CK39" i="9" s="1"/>
  <c r="DB5" i="9"/>
  <c r="CW6" i="9" l="1"/>
  <c r="CY6" i="9" l="1"/>
  <c r="DB6" i="9" l="1"/>
  <c r="CW7" i="9" l="1"/>
  <c r="CY7" i="9" l="1"/>
  <c r="DB7" i="9" l="1"/>
  <c r="CW8" i="9" l="1"/>
  <c r="CY8" i="9" l="1"/>
  <c r="DB8" i="9" l="1"/>
  <c r="CW9" i="9" l="1"/>
  <c r="CY9" i="9" l="1"/>
  <c r="DB9" i="9" l="1"/>
  <c r="CW10" i="9" l="1"/>
  <c r="CY10" i="9" s="1"/>
  <c r="DB10" i="9" s="1"/>
  <c r="CW11" i="9" s="1"/>
  <c r="CY11" i="9" s="1"/>
  <c r="DB11" i="9" l="1"/>
  <c r="CW12" i="9" s="1"/>
  <c r="CY12" i="9" s="1"/>
  <c r="DB12" i="9" s="1"/>
  <c r="CW13" i="9" s="1"/>
  <c r="CY13" i="9" s="1"/>
  <c r="DB13" i="9" l="1"/>
  <c r="CW14" i="9" s="1"/>
  <c r="CY14" i="9" s="1"/>
  <c r="DB14" i="9" s="1"/>
  <c r="CW15" i="9" s="1"/>
  <c r="CY15" i="9" s="1"/>
  <c r="DB15" i="9" l="1"/>
  <c r="CW16" i="9" s="1"/>
  <c r="CY16" i="9" s="1"/>
  <c r="DB16" i="9" l="1"/>
  <c r="CW17" i="9" s="1"/>
  <c r="CY17" i="9" l="1"/>
  <c r="DB17" i="9" l="1"/>
  <c r="CW18" i="9" l="1"/>
  <c r="CY18" i="9" l="1"/>
  <c r="DB18" i="9" l="1"/>
  <c r="CW19" i="9" l="1"/>
  <c r="CY19" i="9" l="1"/>
  <c r="DB19" i="9" l="1"/>
  <c r="CW20" i="9" l="1"/>
  <c r="CY20" i="9" l="1"/>
  <c r="DB20" i="9" l="1"/>
  <c r="CW21" i="9" s="1"/>
  <c r="CY21" i="9" l="1"/>
  <c r="DB21" i="9" l="1"/>
  <c r="CW22" i="9" s="1"/>
  <c r="CY22" i="9" s="1"/>
  <c r="DB22" i="9" l="1"/>
  <c r="CW23" i="9" s="1"/>
  <c r="CY23" i="9" s="1"/>
  <c r="DB23" i="9" l="1"/>
  <c r="CW24" i="9" s="1"/>
  <c r="CY24" i="9" s="1"/>
  <c r="DB24" i="9" s="1"/>
  <c r="CW25" i="9" s="1"/>
  <c r="CY25" i="9" s="1"/>
  <c r="DB25" i="9" s="1"/>
  <c r="CW26" i="9" s="1"/>
  <c r="CY26" i="9" s="1"/>
  <c r="DB26" i="9" l="1"/>
  <c r="CW27" i="9" s="1"/>
  <c r="CY27" i="9" s="1"/>
  <c r="DB27" i="9" l="1"/>
  <c r="CW28" i="9" s="1"/>
  <c r="CY28" i="9" s="1"/>
  <c r="DB28" i="9" l="1"/>
  <c r="CW29" i="9" s="1"/>
  <c r="CY29" i="9" s="1"/>
  <c r="DB29" i="9" l="1"/>
  <c r="CW30" i="9" s="1"/>
  <c r="CY30" i="9" s="1"/>
  <c r="DB30" i="9" l="1"/>
  <c r="CW31" i="9" s="1"/>
  <c r="CY31" i="9" s="1"/>
  <c r="DB31" i="9" l="1"/>
  <c r="CW32" i="9" s="1"/>
  <c r="CY32" i="9" s="1"/>
  <c r="DB32" i="9" l="1"/>
  <c r="CW33" i="9" s="1"/>
  <c r="CY33" i="9" l="1"/>
  <c r="CW34" i="9"/>
  <c r="DB33" i="9" l="1"/>
  <c r="CY34" i="9"/>
  <c r="DB34" i="9" l="1"/>
</calcChain>
</file>

<file path=xl/sharedStrings.xml><?xml version="1.0" encoding="utf-8"?>
<sst xmlns="http://schemas.openxmlformats.org/spreadsheetml/2006/main" count="231" uniqueCount="166">
  <si>
    <t>FOR THE MONTH OF MAY-2021</t>
  </si>
  <si>
    <t>SL.NO</t>
  </si>
  <si>
    <t>DRIVER NAME</t>
  </si>
  <si>
    <t>VEHICLE NO</t>
  </si>
  <si>
    <t>TOTAL TRIP</t>
  </si>
  <si>
    <t>NO. OF 25 TRIPS PER DAY</t>
  </si>
  <si>
    <t>25 TRIP=50 RUPEES</t>
  </si>
  <si>
    <t>SANJAY SINGH BISHT</t>
  </si>
  <si>
    <t>MUKHTIAR SINGH</t>
  </si>
  <si>
    <t>PARMJEET SINGH</t>
  </si>
  <si>
    <t>LAL MOHAN SINGH</t>
  </si>
  <si>
    <t>ANIL RAM</t>
  </si>
  <si>
    <t>SUNIL KUMAR SINGH</t>
  </si>
  <si>
    <t>DES RAJ</t>
  </si>
  <si>
    <t>BIDYADHAR ARUK</t>
  </si>
  <si>
    <t>BALVINDAR SINGH</t>
  </si>
  <si>
    <t>PRAKASH MAHANTA</t>
  </si>
  <si>
    <t>JAYDHAN DAS</t>
  </si>
  <si>
    <t>CHAMBURU MUNDARI</t>
  </si>
  <si>
    <t>SUNDAR MOHAN BESHRA</t>
  </si>
  <si>
    <t>RALEYA MUNDA</t>
  </si>
  <si>
    <t>AMAN GOPE</t>
  </si>
  <si>
    <t>RAJENDRA PURTY</t>
  </si>
  <si>
    <t>SUKHLAL SIRKA</t>
  </si>
  <si>
    <t>BAGAR SINGH SINKU</t>
  </si>
  <si>
    <t>DATE</t>
  </si>
  <si>
    <t>OB</t>
  </si>
  <si>
    <t>TOTAL</t>
  </si>
  <si>
    <t>ROM MT</t>
  </si>
  <si>
    <t>OB MT</t>
  </si>
  <si>
    <t>SUBGRADE MT</t>
  </si>
  <si>
    <t>TOTAL MT</t>
  </si>
  <si>
    <t>DRILL-650</t>
  </si>
  <si>
    <t>CRUSHER</t>
  </si>
  <si>
    <t>Excavator Total Rhs</t>
  </si>
  <si>
    <t>RHS</t>
  </si>
  <si>
    <t>HOLE</t>
  </si>
  <si>
    <t>METER</t>
  </si>
  <si>
    <t>DG-RHS</t>
  </si>
  <si>
    <t>Mining Issue</t>
  </si>
  <si>
    <t>Crusher Issue</t>
  </si>
  <si>
    <t>Drill issue</t>
  </si>
  <si>
    <t>Other Issue</t>
  </si>
  <si>
    <t>REHANDLING</t>
  </si>
  <si>
    <t>shifting</t>
  </si>
  <si>
    <t>TOTAL ISSUE</t>
  </si>
  <si>
    <t>Received HSD</t>
  </si>
  <si>
    <t>Total Issue</t>
  </si>
  <si>
    <t>RECD</t>
  </si>
  <si>
    <t>ISSUE</t>
  </si>
  <si>
    <t>CB</t>
  </si>
  <si>
    <t>Received</t>
  </si>
  <si>
    <t xml:space="preserve">Grand Total </t>
  </si>
  <si>
    <t>CLO</t>
  </si>
  <si>
    <t>FINES</t>
  </si>
  <si>
    <t>MT</t>
  </si>
  <si>
    <t>Product Rehandling</t>
  </si>
  <si>
    <t xml:space="preserve">OMC </t>
  </si>
  <si>
    <t>LOAN</t>
  </si>
  <si>
    <t>CLO TRIPS</t>
  </si>
  <si>
    <t>HSD RECEIVED DATA</t>
  </si>
  <si>
    <t>FEEDER RHS</t>
  </si>
  <si>
    <t>SHIFTING CON</t>
  </si>
  <si>
    <t>phc</t>
  </si>
  <si>
    <t>pmc</t>
  </si>
  <si>
    <t>FINES                TRIPS</t>
  </si>
  <si>
    <t>HSD CONSUMPTION</t>
  </si>
  <si>
    <t>MINING DATA</t>
  </si>
  <si>
    <t>SHIFTING MT</t>
  </si>
  <si>
    <t>MINING</t>
  </si>
  <si>
    <t>HSD COSUMPTION DATA</t>
  </si>
  <si>
    <t>CLO MT</t>
  </si>
  <si>
    <t>FINES MT</t>
  </si>
  <si>
    <t>TOTAL TRIPS</t>
  </si>
  <si>
    <t>NO OF TIPPER USE</t>
  </si>
  <si>
    <t>CRUSHER METARIAL SHIFTING MT</t>
  </si>
  <si>
    <t>NORMAL MTRS</t>
  </si>
  <si>
    <t>HARD MTRS</t>
  </si>
  <si>
    <t>HSD ISSUE DETAILS</t>
  </si>
  <si>
    <t xml:space="preserve">DRILL </t>
  </si>
  <si>
    <t>TOTAL CONSUMPTION</t>
  </si>
  <si>
    <t>Cu.M</t>
  </si>
  <si>
    <t>MINING RHS TIPPER</t>
  </si>
  <si>
    <t>ROM TRIPS</t>
  </si>
  <si>
    <t>Blue Dust TRIPS</t>
  </si>
  <si>
    <t xml:space="preserve"> OB TRIPS</t>
  </si>
  <si>
    <t>SUBGRADE TRIPS</t>
  </si>
  <si>
    <t>Blue Dust MT</t>
  </si>
  <si>
    <t>Excavator USE</t>
  </si>
  <si>
    <t>Tipper RHS</t>
  </si>
  <si>
    <t>REHANDLING RHS</t>
  </si>
  <si>
    <t>SHIFTING RHS</t>
  </si>
  <si>
    <t>JAW RHS</t>
  </si>
  <si>
    <t>CONE RHS</t>
  </si>
  <si>
    <t>LOKA TRACK CRUSHER</t>
  </si>
  <si>
    <t>POWER SCREEN</t>
  </si>
  <si>
    <t>LOKA TRACK</t>
  </si>
  <si>
    <t xml:space="preserve">LOKA TRACK </t>
  </si>
  <si>
    <t>NW CRUSHER</t>
  </si>
  <si>
    <t>JAW</t>
  </si>
  <si>
    <t>CON</t>
  </si>
  <si>
    <t>LOKO</t>
  </si>
  <si>
    <t>SCREEN</t>
  </si>
  <si>
    <t>TRIPS</t>
  </si>
  <si>
    <t>TARGET</t>
  </si>
  <si>
    <t xml:space="preserve">EVERY DAY </t>
  </si>
  <si>
    <t>BHP SCREEN FINESH SHIFTING MT</t>
  </si>
  <si>
    <t>POWER SCREEN TO FINES SHIFTING MT</t>
  </si>
  <si>
    <t>LOKO TRACK</t>
  </si>
  <si>
    <t>G.TOTAL DATE WISE</t>
  </si>
  <si>
    <t>TOTAL CRUSHERB,LOKO TRACK &amp; SCREEN SHIFTING METERIAL DETAILS</t>
  </si>
  <si>
    <t>fines</t>
  </si>
  <si>
    <t>Metso Production &amp; Shifting MT</t>
  </si>
  <si>
    <t>TOTAL CLO MT</t>
  </si>
  <si>
    <t>TOTAL FINES MT</t>
  </si>
  <si>
    <t>G.TOTAL MT</t>
  </si>
  <si>
    <t>BHQ</t>
  </si>
  <si>
    <t>CRUSHER CONS</t>
  </si>
  <si>
    <t>Excavator RHS</t>
  </si>
  <si>
    <t>Loader RHS</t>
  </si>
  <si>
    <t xml:space="preserve">MINING PRODUCTION DETAILS </t>
  </si>
  <si>
    <t>FEEDER HRS</t>
  </si>
  <si>
    <t>NW &amp; LOKO TRACK RHS</t>
  </si>
  <si>
    <t>NW &amp; LOKO TRACK MT</t>
  </si>
  <si>
    <t xml:space="preserve">SHIFTING DATA </t>
  </si>
  <si>
    <t>Loader Hrs</t>
  </si>
  <si>
    <t>Trips</t>
  </si>
  <si>
    <t>EQUP. CONSUMPTION</t>
  </si>
  <si>
    <t>DG HSD CONSUMPTION</t>
  </si>
  <si>
    <t>EQUIPMENT RHS</t>
  </si>
  <si>
    <t>EQUIP.HSD CONSUMTION</t>
  </si>
  <si>
    <t>USE EQUIP.</t>
  </si>
  <si>
    <t>USE TIPPER NO.</t>
  </si>
  <si>
    <t>UES NO.</t>
  </si>
  <si>
    <t xml:space="preserve">Monthly </t>
  </si>
  <si>
    <t>NOV-25 Crusher Stock_QTY.(MT)</t>
  </si>
  <si>
    <t>DMCS EXCAVATOR RHS</t>
  </si>
  <si>
    <t>DMS TIPPER RHS</t>
  </si>
  <si>
    <t>DMS ISSUE</t>
  </si>
  <si>
    <t>DMCS CON</t>
  </si>
  <si>
    <t>DMCS ISSUE</t>
  </si>
  <si>
    <t>DMCS CONSUMPION</t>
  </si>
  <si>
    <t>TOTAL MINING CONSUMPTION(DMCS+DRILL+BSM)</t>
  </si>
  <si>
    <t>Trips DMCS</t>
  </si>
  <si>
    <t>TOTAL  CONSUMTION</t>
  </si>
  <si>
    <t xml:space="preserve">TOTAL CONSUMPTION </t>
  </si>
  <si>
    <t>TOTAL EQ.RHS</t>
  </si>
  <si>
    <t>TOTAL EQ.CONSUMPTION</t>
  </si>
  <si>
    <t>NW CRUSHER (METSO WORK ORDER)</t>
  </si>
  <si>
    <t xml:space="preserve">LOKO TRACK CRUSHER BSM </t>
  </si>
  <si>
    <t>USE Equipment</t>
  </si>
  <si>
    <t>DG / LT  HSD Consuption</t>
  </si>
  <si>
    <t>LT HSD CONSUMTION</t>
  </si>
  <si>
    <t>SCREEN HSD CONSUMTION</t>
  </si>
  <si>
    <t>TANKER BALANCE</t>
  </si>
  <si>
    <t>HORRIZON SCREEN PLANT</t>
  </si>
  <si>
    <t>HORRIZON</t>
  </si>
  <si>
    <t>FOR THE MONTH OF JUNE-2026(SHIFTING DATA)</t>
  </si>
  <si>
    <t>JWMM</t>
  </si>
  <si>
    <t>HORRIZON SCREEN ONLY ISSUE</t>
  </si>
  <si>
    <t>Taken hsd</t>
  </si>
  <si>
    <t>4625-80ltrs</t>
  </si>
  <si>
    <t>Equipment stock</t>
  </si>
  <si>
    <t>OB TRIPS</t>
  </si>
  <si>
    <t>PC-210 another site shifted</t>
  </si>
  <si>
    <t>Taken from 4625 to 45 ltrs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</si>
</sst>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8">
    <xf numFmtId="0" fontId="0" fillId="0" borderId="0" xfId="0"/>
    <xf numFmtId="0" fontId="15" fillId="0" borderId="0" xfId="0" applyFont="1"/>
    <xf numFmtId="0" fontId="0" fillId="0" borderId="1" xfId="0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18" fillId="0" borderId="0" xfId="0" applyNumberFormat="1" applyFont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8" fillId="0" borderId="0" xfId="0" applyNumberFormat="1" applyFont="1" applyAlignment="1">
      <alignment horizontal="center"/>
    </xf>
    <xf numFmtId="2" fontId="18" fillId="2" borderId="1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22" fillId="0" borderId="0" xfId="0" applyFont="1"/>
    <xf numFmtId="2" fontId="18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/>
    </xf>
    <xf numFmtId="2" fontId="18" fillId="5" borderId="1" xfId="0" applyNumberFormat="1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14" fontId="12" fillId="0" borderId="4" xfId="0" applyNumberFormat="1" applyFont="1" applyBorder="1" applyAlignment="1">
      <alignment horizontal="center" vertical="center"/>
    </xf>
    <xf numFmtId="14" fontId="23" fillId="0" borderId="0" xfId="0" applyNumberFormat="1" applyFont="1"/>
    <xf numFmtId="0" fontId="18" fillId="5" borderId="11" xfId="0" applyFont="1" applyFill="1" applyBorder="1" applyAlignment="1">
      <alignment horizontal="center"/>
    </xf>
    <xf numFmtId="164" fontId="18" fillId="5" borderId="5" xfId="0" applyNumberFormat="1" applyFont="1" applyFill="1" applyBorder="1" applyAlignment="1">
      <alignment horizontal="center"/>
    </xf>
    <xf numFmtId="2" fontId="14" fillId="0" borderId="0" xfId="0" applyNumberFormat="1" applyFont="1" applyAlignment="1">
      <alignment horizontal="center"/>
    </xf>
    <xf numFmtId="0" fontId="15" fillId="4" borderId="0" xfId="0" applyFont="1" applyFill="1"/>
    <xf numFmtId="2" fontId="18" fillId="2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" fontId="18" fillId="0" borderId="1" xfId="0" applyNumberFormat="1" applyFont="1" applyBorder="1" applyAlignment="1">
      <alignment horizontal="center"/>
    </xf>
    <xf numFmtId="0" fontId="18" fillId="5" borderId="0" xfId="0" applyFont="1" applyFill="1" applyAlignment="1">
      <alignment horizontal="center"/>
    </xf>
    <xf numFmtId="2" fontId="18" fillId="5" borderId="0" xfId="0" applyNumberFormat="1" applyFont="1" applyFill="1" applyAlignment="1">
      <alignment horizontal="center"/>
    </xf>
    <xf numFmtId="0" fontId="23" fillId="0" borderId="8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2" fontId="23" fillId="0" borderId="8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1" fontId="18" fillId="7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center"/>
    </xf>
    <xf numFmtId="0" fontId="15" fillId="7" borderId="0" xfId="0" applyFont="1" applyFill="1"/>
    <xf numFmtId="1" fontId="18" fillId="12" borderId="0" xfId="0" applyNumberFormat="1" applyFont="1" applyFill="1" applyAlignment="1">
      <alignment horizontal="center" vertical="center"/>
    </xf>
    <xf numFmtId="0" fontId="14" fillId="12" borderId="0" xfId="0" applyFont="1" applyFill="1" applyAlignment="1">
      <alignment horizontal="center"/>
    </xf>
    <xf numFmtId="0" fontId="15" fillId="12" borderId="0" xfId="0" applyFont="1" applyFill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64" fontId="18" fillId="11" borderId="12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4" fillId="2" borderId="0" xfId="0" applyFont="1" applyFill="1"/>
    <xf numFmtId="0" fontId="27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14" fontId="18" fillId="3" borderId="26" xfId="0" applyNumberFormat="1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14" fontId="18" fillId="9" borderId="1" xfId="0" applyNumberFormat="1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14" fontId="23" fillId="9" borderId="1" xfId="0" applyNumberFormat="1" applyFont="1" applyFill="1" applyBorder="1" applyAlignment="1">
      <alignment horizontal="center"/>
    </xf>
    <xf numFmtId="1" fontId="23" fillId="9" borderId="1" xfId="0" applyNumberFormat="1" applyFont="1" applyFill="1" applyBorder="1" applyAlignment="1">
      <alignment horizontal="center"/>
    </xf>
    <xf numFmtId="0" fontId="23" fillId="9" borderId="1" xfId="0" applyFont="1" applyFill="1" applyBorder="1" applyAlignment="1">
      <alignment horizontal="center"/>
    </xf>
    <xf numFmtId="164" fontId="18" fillId="10" borderId="1" xfId="0" applyNumberFormat="1" applyFont="1" applyFill="1" applyBorder="1" applyAlignment="1">
      <alignment horizontal="center" vertical="center"/>
    </xf>
    <xf numFmtId="164" fontId="18" fillId="10" borderId="4" xfId="0" applyNumberFormat="1" applyFont="1" applyFill="1" applyBorder="1" applyAlignment="1">
      <alignment horizontal="center" vertical="center"/>
    </xf>
    <xf numFmtId="164" fontId="18" fillId="10" borderId="13" xfId="0" applyNumberFormat="1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/>
    </xf>
    <xf numFmtId="1" fontId="18" fillId="12" borderId="7" xfId="0" applyNumberFormat="1" applyFont="1" applyFill="1" applyBorder="1" applyAlignment="1">
      <alignment horizontal="center"/>
    </xf>
    <xf numFmtId="0" fontId="18" fillId="12" borderId="12" xfId="0" applyFont="1" applyFill="1" applyBorder="1" applyAlignment="1">
      <alignment horizontal="center" vertical="center"/>
    </xf>
    <xf numFmtId="0" fontId="0" fillId="12" borderId="0" xfId="0" applyFill="1"/>
    <xf numFmtId="2" fontId="23" fillId="2" borderId="1" xfId="0" applyNumberFormat="1" applyFont="1" applyFill="1" applyBorder="1" applyAlignment="1">
      <alignment horizontal="center" vertical="center"/>
    </xf>
    <xf numFmtId="164" fontId="23" fillId="2" borderId="1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2" fontId="23" fillId="2" borderId="4" xfId="0" applyNumberFormat="1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" fontId="18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15" fillId="5" borderId="0" xfId="0" applyFont="1" applyFill="1"/>
    <xf numFmtId="1" fontId="14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/>
    </xf>
    <xf numFmtId="164" fontId="18" fillId="11" borderId="1" xfId="0" applyNumberFormat="1" applyFont="1" applyFill="1" applyBorder="1" applyAlignment="1">
      <alignment horizontal="center" vertical="center"/>
    </xf>
    <xf numFmtId="164" fontId="18" fillId="11" borderId="3" xfId="0" applyNumberFormat="1" applyFont="1" applyFill="1" applyBorder="1" applyAlignment="1">
      <alignment horizontal="center" vertical="center"/>
    </xf>
    <xf numFmtId="164" fontId="18" fillId="11" borderId="4" xfId="0" applyNumberFormat="1" applyFont="1" applyFill="1" applyBorder="1" applyAlignment="1">
      <alignment horizontal="center" vertical="center"/>
    </xf>
    <xf numFmtId="164" fontId="18" fillId="11" borderId="13" xfId="0" applyNumberFormat="1" applyFont="1" applyFill="1" applyBorder="1" applyAlignment="1">
      <alignment horizontal="center" vertical="center"/>
    </xf>
    <xf numFmtId="1" fontId="23" fillId="0" borderId="0" xfId="0" applyNumberFormat="1" applyFont="1"/>
    <xf numFmtId="1" fontId="19" fillId="0" borderId="0" xfId="0" applyNumberFormat="1" applyFont="1"/>
    <xf numFmtId="2" fontId="23" fillId="0" borderId="0" xfId="0" applyNumberFormat="1" applyFont="1"/>
    <xf numFmtId="0" fontId="21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8" fillId="0" borderId="1" xfId="0" applyNumberFormat="1" applyFont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5" fillId="0" borderId="0" xfId="0" applyNumberFormat="1" applyFont="1"/>
    <xf numFmtId="2" fontId="15" fillId="0" borderId="0" xfId="0" applyNumberFormat="1" applyFont="1"/>
    <xf numFmtId="0" fontId="23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164" fontId="18" fillId="10" borderId="3" xfId="0" applyNumberFormat="1" applyFont="1" applyFill="1" applyBorder="1" applyAlignment="1">
      <alignment horizontal="center" vertical="center"/>
    </xf>
    <xf numFmtId="164" fontId="18" fillId="10" borderId="12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/>
    </xf>
    <xf numFmtId="1" fontId="18" fillId="12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2" borderId="0" xfId="0" applyFill="1"/>
    <xf numFmtId="164" fontId="0" fillId="13" borderId="1" xfId="0" applyNumberFormat="1" applyFill="1" applyBorder="1"/>
    <xf numFmtId="0" fontId="18" fillId="14" borderId="1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18" fillId="14" borderId="12" xfId="0" applyFont="1" applyFill="1" applyBorder="1" applyAlignment="1">
      <alignment horizontal="center" vertical="center"/>
    </xf>
    <xf numFmtId="164" fontId="18" fillId="4" borderId="1" xfId="0" applyNumberFormat="1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Continuous" vertical="center"/>
    </xf>
    <xf numFmtId="0" fontId="18" fillId="15" borderId="1" xfId="0" applyFont="1" applyFill="1" applyBorder="1" applyAlignment="1">
      <alignment horizontal="center" vertical="center"/>
    </xf>
    <xf numFmtId="2" fontId="18" fillId="15" borderId="1" xfId="0" applyNumberFormat="1" applyFont="1" applyFill="1" applyBorder="1" applyAlignment="1">
      <alignment horizontal="center" vertical="center"/>
    </xf>
    <xf numFmtId="164" fontId="18" fillId="15" borderId="1" xfId="0" applyNumberFormat="1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Continuous" vertical="center"/>
    </xf>
    <xf numFmtId="14" fontId="23" fillId="2" borderId="3" xfId="0" applyNumberFormat="1" applyFont="1" applyFill="1" applyBorder="1" applyAlignment="1">
      <alignment horizontal="centerContinuous" vertical="center"/>
    </xf>
    <xf numFmtId="0" fontId="23" fillId="2" borderId="3" xfId="0" applyFont="1" applyFill="1" applyBorder="1" applyAlignment="1">
      <alignment horizontal="centerContinuous" vertical="center" wrapText="1"/>
    </xf>
    <xf numFmtId="0" fontId="23" fillId="2" borderId="3" xfId="0" applyFont="1" applyFill="1" applyBorder="1" applyAlignment="1">
      <alignment horizontal="centerContinuous" vertical="center"/>
    </xf>
    <xf numFmtId="0" fontId="23" fillId="2" borderId="7" xfId="0" applyFont="1" applyFill="1" applyBorder="1" applyAlignment="1">
      <alignment horizontal="centerContinuous" vertical="center" wrapText="1"/>
    </xf>
    <xf numFmtId="0" fontId="23" fillId="14" borderId="0" xfId="0" applyFont="1" applyFill="1" applyAlignment="1">
      <alignment horizontal="centerContinuous" vertical="center" wrapText="1"/>
    </xf>
    <xf numFmtId="0" fontId="23" fillId="10" borderId="10" xfId="0" applyFont="1" applyFill="1" applyBorder="1" applyAlignment="1">
      <alignment horizontal="centerContinuous" vertical="center"/>
    </xf>
    <xf numFmtId="0" fontId="23" fillId="10" borderId="5" xfId="0" applyFont="1" applyFill="1" applyBorder="1" applyAlignment="1">
      <alignment horizontal="centerContinuous" vertical="center"/>
    </xf>
    <xf numFmtId="0" fontId="23" fillId="12" borderId="9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20" fillId="0" borderId="0" xfId="0" applyFont="1" applyAlignment="1">
      <alignment horizontal="center" vertical="center"/>
    </xf>
    <xf numFmtId="0" fontId="23" fillId="6" borderId="0" xfId="0" applyFont="1" applyFill="1" applyAlignment="1">
      <alignment horizontal="centerContinuous" vertical="center" wrapText="1"/>
    </xf>
    <xf numFmtId="0" fontId="18" fillId="6" borderId="1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23" fillId="14" borderId="3" xfId="0" applyFont="1" applyFill="1" applyBorder="1" applyAlignment="1">
      <alignment horizontal="centerContinuous" vertical="center" wrapText="1"/>
    </xf>
    <xf numFmtId="0" fontId="23" fillId="14" borderId="1" xfId="0" applyFont="1" applyFill="1" applyBorder="1" applyAlignment="1">
      <alignment horizontal="centerContinuous" vertical="center" wrapText="1"/>
    </xf>
    <xf numFmtId="0" fontId="23" fillId="14" borderId="14" xfId="0" applyFont="1" applyFill="1" applyBorder="1" applyAlignment="1">
      <alignment horizontal="centerContinuous" vertical="center" wrapText="1"/>
    </xf>
    <xf numFmtId="0" fontId="18" fillId="14" borderId="8" xfId="0" applyFont="1" applyFill="1" applyBorder="1" applyAlignment="1">
      <alignment horizontal="center" vertical="center"/>
    </xf>
    <xf numFmtId="0" fontId="18" fillId="14" borderId="7" xfId="0" applyFont="1" applyFill="1" applyBorder="1" applyAlignment="1">
      <alignment horizontal="center" vertical="center"/>
    </xf>
    <xf numFmtId="2" fontId="18" fillId="14" borderId="1" xfId="0" applyNumberFormat="1" applyFont="1" applyFill="1" applyBorder="1" applyAlignment="1">
      <alignment horizontal="center" vertical="center"/>
    </xf>
    <xf numFmtId="1" fontId="18" fillId="14" borderId="1" xfId="0" applyNumberFormat="1" applyFont="1" applyFill="1" applyBorder="1" applyAlignment="1">
      <alignment horizontal="center" vertical="center"/>
    </xf>
    <xf numFmtId="0" fontId="18" fillId="14" borderId="6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14" fontId="17" fillId="2" borderId="3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17" fontId="17" fillId="2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/>
    </xf>
    <xf numFmtId="2" fontId="25" fillId="2" borderId="18" xfId="0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2" fontId="25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25" fillId="2" borderId="13" xfId="0" applyNumberFormat="1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13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2" fontId="18" fillId="6" borderId="12" xfId="0" applyNumberFormat="1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2" fontId="25" fillId="2" borderId="12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3" fillId="15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 wrapText="1"/>
    </xf>
    <xf numFmtId="1" fontId="18" fillId="15" borderId="0" xfId="0" applyNumberFormat="1" applyFont="1" applyFill="1" applyAlignment="1">
      <alignment horizontal="center" vertical="center"/>
    </xf>
    <xf numFmtId="0" fontId="23" fillId="16" borderId="0" xfId="0" applyFont="1" applyFill="1" applyAlignment="1">
      <alignment horizontal="centerContinuous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/>
    </xf>
    <xf numFmtId="2" fontId="18" fillId="16" borderId="1" xfId="0" applyNumberFormat="1" applyFont="1" applyFill="1" applyBorder="1" applyAlignment="1">
      <alignment horizontal="center" vertical="center"/>
    </xf>
    <xf numFmtId="0" fontId="18" fillId="16" borderId="12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51" xfId="0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3" fillId="8" borderId="5" xfId="0" applyFont="1" applyFill="1" applyBorder="1" applyAlignment="1">
      <alignment horizontal="centerContinuous" vertical="center"/>
    </xf>
    <xf numFmtId="0" fontId="17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164" fontId="18" fillId="8" borderId="1" xfId="0" applyNumberFormat="1" applyFont="1" applyFill="1" applyBorder="1" applyAlignment="1">
      <alignment horizontal="center" vertical="center"/>
    </xf>
    <xf numFmtId="164" fontId="18" fillId="8" borderId="3" xfId="0" applyNumberFormat="1" applyFont="1" applyFill="1" applyBorder="1" applyAlignment="1">
      <alignment horizontal="center" vertical="center"/>
    </xf>
    <xf numFmtId="164" fontId="18" fillId="8" borderId="4" xfId="0" applyNumberFormat="1" applyFont="1" applyFill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164" fontId="18" fillId="8" borderId="12" xfId="0" applyNumberFormat="1" applyFont="1" applyFill="1" applyBorder="1" applyAlignment="1">
      <alignment horizontal="center" vertical="center"/>
    </xf>
    <xf numFmtId="1" fontId="18" fillId="8" borderId="0" xfId="0" applyNumberFormat="1" applyFont="1" applyFill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1" fontId="18" fillId="2" borderId="1" xfId="0" applyNumberFormat="1" applyFont="1" applyFill="1" applyBorder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/>
    <xf numFmtId="0" fontId="1" fillId="0" borderId="0" xfId="0" applyFont="1"/>
    <xf numFmtId="14" fontId="1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0" fillId="0" borderId="1" xfId="0" applyNumberFormat="1" applyBorder="1"/>
    <xf numFmtId="0" fontId="11" fillId="0" borderId="1" xfId="0" applyFont="1" applyBorder="1"/>
    <xf numFmtId="0" fontId="11" fillId="0" borderId="0" xfId="0" applyFont="1"/>
    <xf numFmtId="1" fontId="18" fillId="12" borderId="6" xfId="0" applyNumberFormat="1" applyFont="1" applyFill="1" applyBorder="1" applyAlignment="1">
      <alignment horizontal="center"/>
    </xf>
    <xf numFmtId="1" fontId="14" fillId="12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 vertical="center"/>
    </xf>
    <xf numFmtId="2" fontId="18" fillId="12" borderId="1" xfId="0" applyNumberFormat="1" applyFont="1" applyFill="1" applyBorder="1" applyAlignment="1">
      <alignment horizontal="center"/>
    </xf>
    <xf numFmtId="2" fontId="18" fillId="12" borderId="7" xfId="0" applyNumberFormat="1" applyFont="1" applyFill="1" applyBorder="1" applyAlignment="1">
      <alignment horizontal="center"/>
    </xf>
    <xf numFmtId="2" fontId="16" fillId="2" borderId="27" xfId="0" applyNumberFormat="1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 wrapText="1"/>
    </xf>
    <xf numFmtId="0" fontId="25" fillId="2" borderId="48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14" fontId="16" fillId="0" borderId="49" xfId="0" applyNumberFormat="1" applyFont="1" applyBorder="1" applyAlignment="1">
      <alignment horizontal="center" vertical="center"/>
    </xf>
    <xf numFmtId="14" fontId="18" fillId="0" borderId="50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2" fontId="23" fillId="0" borderId="44" xfId="0" applyNumberFormat="1" applyFont="1" applyBorder="1" applyAlignment="1">
      <alignment horizontal="center" vertical="center" wrapText="1"/>
    </xf>
    <xf numFmtId="14" fontId="16" fillId="0" borderId="50" xfId="0" applyNumberFormat="1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2" fontId="25" fillId="0" borderId="48" xfId="0" applyNumberFormat="1" applyFont="1" applyBorder="1" applyAlignment="1">
      <alignment horizontal="center" vertical="center" wrapText="1"/>
    </xf>
    <xf numFmtId="2" fontId="25" fillId="0" borderId="18" xfId="0" applyNumberFormat="1" applyFont="1" applyBorder="1" applyAlignment="1">
      <alignment horizontal="center" vertical="center" wrapText="1"/>
    </xf>
    <xf numFmtId="14" fontId="16" fillId="0" borderId="50" xfId="0" applyNumberFormat="1" applyFont="1" applyBorder="1" applyAlignment="1">
      <alignment horizontal="center" vertical="center"/>
    </xf>
    <xf numFmtId="0" fontId="10" fillId="0" borderId="0" xfId="0" applyFont="1"/>
    <xf numFmtId="14" fontId="16" fillId="0" borderId="7" xfId="0" applyNumberFormat="1" applyFont="1" applyBorder="1" applyAlignment="1">
      <alignment horizontal="center" vertical="center" wrapText="1"/>
    </xf>
    <xf numFmtId="14" fontId="16" fillId="0" borderId="36" xfId="0" applyNumberFormat="1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2" fontId="16" fillId="0" borderId="45" xfId="0" applyNumberFormat="1" applyFont="1" applyBorder="1" applyAlignment="1">
      <alignment horizontal="center"/>
    </xf>
    <xf numFmtId="2" fontId="16" fillId="0" borderId="35" xfId="0" applyNumberFormat="1" applyFont="1" applyBorder="1" applyAlignment="1">
      <alignment horizontal="center"/>
    </xf>
    <xf numFmtId="0" fontId="28" fillId="0" borderId="0" xfId="0" applyFon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28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0" fontId="18" fillId="0" borderId="21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Continuous" vertical="center" wrapText="1"/>
    </xf>
    <xf numFmtId="0" fontId="25" fillId="0" borderId="19" xfId="0" applyFont="1" applyBorder="1" applyAlignment="1">
      <alignment horizontal="centerContinuous" vertical="center"/>
    </xf>
    <xf numFmtId="0" fontId="25" fillId="0" borderId="19" xfId="0" applyFont="1" applyBorder="1" applyAlignment="1">
      <alignment horizontal="centerContinuous" vertical="center" wrapText="1"/>
    </xf>
    <xf numFmtId="0" fontId="26" fillId="0" borderId="16" xfId="0" applyFont="1" applyBorder="1" applyAlignment="1">
      <alignment horizontal="centerContinuous" vertical="center" wrapText="1"/>
    </xf>
    <xf numFmtId="0" fontId="26" fillId="0" borderId="0" xfId="0" applyFont="1"/>
    <xf numFmtId="0" fontId="18" fillId="0" borderId="17" xfId="0" applyFont="1" applyBorder="1" applyAlignment="1">
      <alignment horizontal="centerContinuous" vertical="center"/>
    </xf>
    <xf numFmtId="0" fontId="18" fillId="0" borderId="1" xfId="0" applyFont="1" applyBorder="1" applyAlignment="1">
      <alignment horizontal="centerContinuous" vertic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2" fontId="25" fillId="0" borderId="17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2" fontId="25" fillId="0" borderId="1" xfId="0" applyNumberFormat="1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2" fontId="18" fillId="0" borderId="22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0" borderId="4" xfId="0" applyFont="1" applyBorder="1" applyAlignment="1">
      <alignment horizontal="center"/>
    </xf>
    <xf numFmtId="15" fontId="18" fillId="0" borderId="4" xfId="0" applyNumberFormat="1" applyFont="1" applyBorder="1" applyAlignment="1">
      <alignment horizontal="center"/>
    </xf>
    <xf numFmtId="2" fontId="18" fillId="0" borderId="8" xfId="0" applyNumberFormat="1" applyFont="1" applyBorder="1" applyAlignment="1">
      <alignment horizontal="center" vertical="center"/>
    </xf>
    <xf numFmtId="0" fontId="18" fillId="0" borderId="36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15" fontId="0" fillId="0" borderId="0" xfId="0" applyNumberFormat="1"/>
    <xf numFmtId="2" fontId="25" fillId="0" borderId="0" xfId="0" applyNumberFormat="1" applyFont="1"/>
    <xf numFmtId="0" fontId="18" fillId="0" borderId="38" xfId="0" applyFon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25" fillId="2" borderId="26" xfId="0" applyFont="1" applyFill="1" applyBorder="1" applyAlignment="1">
      <alignment horizontal="center" vertical="center"/>
    </xf>
    <xf numFmtId="0" fontId="23" fillId="17" borderId="5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0" fontId="23" fillId="17" borderId="7" xfId="0" applyFont="1" applyFill="1" applyBorder="1" applyAlignment="1">
      <alignment horizontal="center" vertical="center" wrapText="1"/>
    </xf>
    <xf numFmtId="0" fontId="25" fillId="17" borderId="5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center" vertical="center" wrapText="1"/>
    </xf>
    <xf numFmtId="0" fontId="25" fillId="17" borderId="7" xfId="0" applyFont="1" applyFill="1" applyBorder="1" applyAlignment="1">
      <alignment horizontal="center" vertical="center" wrapText="1"/>
    </xf>
    <xf numFmtId="2" fontId="25" fillId="17" borderId="5" xfId="0" applyNumberFormat="1" applyFont="1" applyFill="1" applyBorder="1" applyAlignment="1">
      <alignment horizontal="center" vertical="center"/>
    </xf>
    <xf numFmtId="2" fontId="25" fillId="17" borderId="1" xfId="0" applyNumberFormat="1" applyFont="1" applyFill="1" applyBorder="1" applyAlignment="1">
      <alignment horizontal="center" vertical="center"/>
    </xf>
    <xf numFmtId="2" fontId="25" fillId="17" borderId="7" xfId="0" applyNumberFormat="1" applyFont="1" applyFill="1" applyBorder="1" applyAlignment="1">
      <alignment horizontal="center" vertical="center"/>
    </xf>
    <xf numFmtId="0" fontId="25" fillId="17" borderId="5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5" fillId="17" borderId="7" xfId="0" applyFont="1" applyFill="1" applyBorder="1" applyAlignment="1">
      <alignment horizontal="center" vertical="center"/>
    </xf>
    <xf numFmtId="0" fontId="25" fillId="17" borderId="13" xfId="0" applyFont="1" applyFill="1" applyBorder="1" applyAlignment="1">
      <alignment horizontal="center" vertical="center"/>
    </xf>
    <xf numFmtId="0" fontId="25" fillId="17" borderId="41" xfId="0" applyFont="1" applyFill="1" applyBorder="1" applyAlignment="1">
      <alignment horizontal="center" vertical="center"/>
    </xf>
    <xf numFmtId="0" fontId="25" fillId="17" borderId="14" xfId="0" applyFont="1" applyFill="1" applyBorder="1" applyAlignment="1">
      <alignment horizontal="center" vertical="center"/>
    </xf>
    <xf numFmtId="2" fontId="16" fillId="17" borderId="42" xfId="0" applyNumberFormat="1" applyFont="1" applyFill="1" applyBorder="1" applyAlignment="1">
      <alignment horizontal="center" vertical="center"/>
    </xf>
    <xf numFmtId="2" fontId="16" fillId="17" borderId="43" xfId="0" applyNumberFormat="1" applyFont="1" applyFill="1" applyBorder="1" applyAlignment="1">
      <alignment horizontal="center" vertical="center"/>
    </xf>
    <xf numFmtId="14" fontId="16" fillId="9" borderId="15" xfId="0" applyNumberFormat="1" applyFont="1" applyFill="1" applyBorder="1" applyAlignment="1">
      <alignment horizontal="centerContinuous" vertical="center"/>
    </xf>
    <xf numFmtId="14" fontId="16" fillId="9" borderId="19" xfId="0" applyNumberFormat="1" applyFont="1" applyFill="1" applyBorder="1" applyAlignment="1">
      <alignment horizontal="centerContinuous" vertical="center"/>
    </xf>
    <xf numFmtId="14" fontId="16" fillId="9" borderId="16" xfId="0" applyNumberFormat="1" applyFont="1" applyFill="1" applyBorder="1" applyAlignment="1">
      <alignment horizontal="centerContinuous" vertical="center"/>
    </xf>
    <xf numFmtId="0" fontId="23" fillId="9" borderId="17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9" borderId="18" xfId="0" applyFont="1" applyFill="1" applyBorder="1" applyAlignment="1">
      <alignment horizontal="center" vertical="center" wrapText="1"/>
    </xf>
    <xf numFmtId="0" fontId="25" fillId="9" borderId="17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5" fillId="9" borderId="18" xfId="0" applyFont="1" applyFill="1" applyBorder="1" applyAlignment="1">
      <alignment horizontal="center" vertical="center" wrapText="1"/>
    </xf>
    <xf numFmtId="2" fontId="25" fillId="9" borderId="17" xfId="0" applyNumberFormat="1" applyFont="1" applyFill="1" applyBorder="1" applyAlignment="1">
      <alignment horizontal="center" vertical="center"/>
    </xf>
    <xf numFmtId="2" fontId="25" fillId="9" borderId="1" xfId="0" applyNumberFormat="1" applyFont="1" applyFill="1" applyBorder="1" applyAlignment="1">
      <alignment horizontal="center" vertical="center"/>
    </xf>
    <xf numFmtId="2" fontId="25" fillId="9" borderId="18" xfId="0" applyNumberFormat="1" applyFont="1" applyFill="1" applyBorder="1" applyAlignment="1">
      <alignment horizontal="center" vertical="center"/>
    </xf>
    <xf numFmtId="0" fontId="25" fillId="9" borderId="17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18" xfId="0" applyFont="1" applyFill="1" applyBorder="1" applyAlignment="1">
      <alignment horizontal="center" vertical="center"/>
    </xf>
    <xf numFmtId="2" fontId="16" fillId="9" borderId="42" xfId="0" applyNumberFormat="1" applyFont="1" applyFill="1" applyBorder="1" applyAlignment="1">
      <alignment horizontal="center" vertical="center"/>
    </xf>
    <xf numFmtId="2" fontId="16" fillId="9" borderId="44" xfId="0" applyNumberFormat="1" applyFont="1" applyFill="1" applyBorder="1" applyAlignment="1">
      <alignment horizontal="center" vertical="center"/>
    </xf>
    <xf numFmtId="0" fontId="25" fillId="17" borderId="53" xfId="0" applyFont="1" applyFill="1" applyBorder="1" applyAlignment="1">
      <alignment horizontal="center" vertical="center"/>
    </xf>
    <xf numFmtId="0" fontId="25" fillId="17" borderId="47" xfId="0" applyFont="1" applyFill="1" applyBorder="1" applyAlignment="1">
      <alignment horizontal="center" vertical="center"/>
    </xf>
    <xf numFmtId="2" fontId="16" fillId="17" borderId="12" xfId="0" applyNumberFormat="1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center" vertical="center" wrapText="1"/>
    </xf>
    <xf numFmtId="0" fontId="23" fillId="2" borderId="44" xfId="0" applyFont="1" applyFill="1" applyBorder="1" applyAlignment="1">
      <alignment horizontal="center" vertical="center" wrapText="1"/>
    </xf>
    <xf numFmtId="2" fontId="16" fillId="2" borderId="20" xfId="0" applyNumberFormat="1" applyFont="1" applyFill="1" applyBorder="1" applyAlignment="1">
      <alignment horizontal="center" vertical="center"/>
    </xf>
    <xf numFmtId="2" fontId="16" fillId="2" borderId="35" xfId="0" applyNumberFormat="1" applyFont="1" applyFill="1" applyBorder="1" applyAlignment="1">
      <alignment horizontal="center" vertical="center"/>
    </xf>
    <xf numFmtId="14" fontId="25" fillId="0" borderId="33" xfId="0" applyNumberFormat="1" applyFont="1" applyBorder="1" applyAlignment="1">
      <alignment horizontal="center" vertical="center"/>
    </xf>
    <xf numFmtId="14" fontId="25" fillId="0" borderId="25" xfId="0" applyNumberFormat="1" applyFont="1" applyBorder="1" applyAlignment="1">
      <alignment horizontal="center" vertical="center"/>
    </xf>
    <xf numFmtId="14" fontId="25" fillId="0" borderId="34" xfId="0" applyNumberFormat="1" applyFont="1" applyBorder="1" applyAlignment="1">
      <alignment horizontal="center" vertical="center"/>
    </xf>
    <xf numFmtId="14" fontId="16" fillId="17" borderId="31" xfId="0" applyNumberFormat="1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23" fillId="0" borderId="12" xfId="0" applyNumberFormat="1" applyFont="1" applyBorder="1" applyAlignment="1">
      <alignment horizontal="center" vertical="center" wrapText="1"/>
    </xf>
    <xf numFmtId="14" fontId="23" fillId="0" borderId="44" xfId="0" applyNumberFormat="1" applyFont="1" applyBorder="1" applyAlignment="1">
      <alignment horizontal="center" vertical="center" wrapText="1"/>
    </xf>
    <xf numFmtId="14" fontId="16" fillId="2" borderId="27" xfId="0" applyNumberFormat="1" applyFont="1" applyFill="1" applyBorder="1" applyAlignment="1">
      <alignment horizontal="center" vertical="center"/>
    </xf>
    <xf numFmtId="14" fontId="16" fillId="2" borderId="28" xfId="0" applyNumberFormat="1" applyFont="1" applyFill="1" applyBorder="1" applyAlignment="1">
      <alignment horizontal="center" vertical="center"/>
    </xf>
    <xf numFmtId="2" fontId="16" fillId="17" borderId="43" xfId="0" applyNumberFormat="1" applyFont="1" applyFill="1" applyBorder="1" applyAlignment="1">
      <alignment horizontal="center" vertical="center"/>
    </xf>
    <xf numFmtId="2" fontId="16" fillId="17" borderId="29" xfId="0" applyNumberFormat="1" applyFont="1" applyFill="1" applyBorder="1" applyAlignment="1">
      <alignment horizontal="center" vertical="center"/>
    </xf>
    <xf numFmtId="2" fontId="16" fillId="2" borderId="22" xfId="0" applyNumberFormat="1" applyFont="1" applyFill="1" applyBorder="1" applyAlignment="1">
      <alignment horizontal="center" vertical="center"/>
    </xf>
    <xf numFmtId="2" fontId="16" fillId="2" borderId="45" xfId="0" applyNumberFormat="1" applyFont="1" applyFill="1" applyBorder="1" applyAlignment="1">
      <alignment horizontal="center" vertical="center"/>
    </xf>
    <xf numFmtId="2" fontId="16" fillId="9" borderId="43" xfId="0" applyNumberFormat="1" applyFont="1" applyFill="1" applyBorder="1" applyAlignment="1">
      <alignment horizontal="center" vertical="center"/>
    </xf>
    <xf numFmtId="2" fontId="16" fillId="9" borderId="12" xfId="0" applyNumberFormat="1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2" fontId="16" fillId="2" borderId="27" xfId="0" applyNumberFormat="1" applyFont="1" applyFill="1" applyBorder="1" applyAlignment="1">
      <alignment horizontal="center" vertical="center"/>
    </xf>
    <xf numFmtId="2" fontId="16" fillId="2" borderId="29" xfId="0" applyNumberFormat="1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14" fontId="16" fillId="2" borderId="30" xfId="0" applyNumberFormat="1" applyFont="1" applyFill="1" applyBorder="1" applyAlignment="1">
      <alignment horizontal="center" vertical="center"/>
    </xf>
    <xf numFmtId="14" fontId="16" fillId="2" borderId="31" xfId="0" applyNumberFormat="1" applyFont="1" applyFill="1" applyBorder="1" applyAlignment="1">
      <alignment horizontal="center" vertical="center"/>
    </xf>
    <xf numFmtId="14" fontId="16" fillId="2" borderId="32" xfId="0" applyNumberFormat="1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23" fillId="6" borderId="8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23" fillId="15" borderId="1" xfId="0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/>
    </xf>
    <xf numFmtId="0" fontId="23" fillId="12" borderId="9" xfId="0" applyFont="1" applyFill="1" applyBorder="1" applyAlignment="1">
      <alignment horizontal="center"/>
    </xf>
    <xf numFmtId="1" fontId="18" fillId="7" borderId="25" xfId="0" applyNumberFormat="1" applyFont="1" applyFill="1" applyBorder="1" applyAlignment="1">
      <alignment horizontal="center" vertical="center"/>
    </xf>
    <xf numFmtId="1" fontId="18" fillId="7" borderId="0" xfId="0" applyNumberFormat="1" applyFont="1" applyFill="1" applyAlignment="1">
      <alignment horizontal="center" vertical="center"/>
    </xf>
    <xf numFmtId="1" fontId="23" fillId="0" borderId="1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11" borderId="7" xfId="0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center" vertical="center"/>
    </xf>
    <xf numFmtId="2" fontId="25" fillId="2" borderId="26" xfId="0" applyNumberFormat="1" applyFont="1" applyFill="1" applyBorder="1" applyAlignment="1">
      <alignment horizontal="center" vertical="center"/>
    </xf>
    <xf numFmtId="2" fontId="25" fillId="17" borderId="26" xfId="0" applyNumberFormat="1" applyFont="1" applyFill="1" applyBorder="1" applyAlignment="1">
      <alignment horizontal="center" vertical="center"/>
    </xf>
    <xf numFmtId="2" fontId="25" fillId="17" borderId="33" xfId="0" applyNumberFormat="1" applyFont="1" applyFill="1" applyBorder="1" applyAlignment="1">
      <alignment horizontal="center" vertical="center"/>
    </xf>
    <xf numFmtId="2" fontId="25" fillId="9" borderId="42" xfId="0" applyNumberFormat="1" applyFont="1" applyFill="1" applyBorder="1" applyAlignment="1">
      <alignment horizontal="center" vertical="center"/>
    </xf>
    <xf numFmtId="2" fontId="25" fillId="9" borderId="54" xfId="0" applyNumberFormat="1" applyFont="1" applyFill="1" applyBorder="1" applyAlignment="1">
      <alignment horizontal="center" vertical="center"/>
    </xf>
    <xf numFmtId="2" fontId="25" fillId="17" borderId="2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workbookViewId="0">
      <selection activeCell="H17" sqref="H17"/>
    </sheetView>
  </sheetViews>
  <sheetFormatPr defaultColWidth="9" defaultRowHeight="14.4"/>
  <cols>
    <col min="2" max="2" width="22.33203125" customWidth="1"/>
    <col min="3" max="3" width="17.44140625" customWidth="1"/>
    <col min="4" max="34" width="4.6640625" customWidth="1"/>
    <col min="35" max="35" width="6.44140625" customWidth="1"/>
    <col min="36" max="36" width="9.33203125" customWidth="1"/>
  </cols>
  <sheetData>
    <row r="1" spans="1:37" ht="21">
      <c r="A1" s="364" t="s">
        <v>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  <c r="AB1" s="364"/>
      <c r="AC1" s="364"/>
      <c r="AD1" s="364"/>
      <c r="AE1" s="364"/>
      <c r="AF1" s="364"/>
      <c r="AG1" s="364"/>
      <c r="AH1" s="364"/>
      <c r="AI1" s="364"/>
      <c r="AJ1" s="364"/>
      <c r="AK1" s="364"/>
    </row>
    <row r="2" spans="1:37" ht="43.2">
      <c r="A2" s="4" t="s">
        <v>1</v>
      </c>
      <c r="B2" s="4" t="s">
        <v>2</v>
      </c>
      <c r="C2" s="4" t="s">
        <v>3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30</v>
      </c>
      <c r="AH2" s="4">
        <v>31</v>
      </c>
      <c r="AI2" s="5" t="s">
        <v>4</v>
      </c>
      <c r="AJ2" s="6" t="s">
        <v>5</v>
      </c>
      <c r="AK2" s="7" t="s">
        <v>6</v>
      </c>
    </row>
    <row r="3" spans="1:37">
      <c r="A3" s="2">
        <v>1</v>
      </c>
      <c r="B3" s="2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>
        <f>D3+E3+F3+G3+H3+I3+J3+K3+L3+M3+N3+O3+P3+Q3+R3+S3+T3+U3+V3+W3+X3+Y3+Z3+AA3+AB3+AC3+AD3+AE3+AG3+AH3</f>
        <v>0</v>
      </c>
      <c r="AJ3" s="8">
        <f>COUNTIF(D3:AH3,"25")</f>
        <v>0</v>
      </c>
      <c r="AK3" s="2">
        <f>AJ3*50</f>
        <v>0</v>
      </c>
    </row>
    <row r="4" spans="1:37">
      <c r="A4" s="2">
        <v>2</v>
      </c>
      <c r="B4" s="2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>
        <f t="shared" ref="AI4:AI21" si="0">D4+E4+F4+G4+H4+I4+J4+K4+L4+M4+N4+O4+P4+Q4+R4+S4+T4+U4+V4+W4+X4+Y4+Z4+AA4+AB4+AC4+AD4+AE4+AG4+AH4</f>
        <v>0</v>
      </c>
      <c r="AJ4" s="8">
        <f t="shared" ref="AJ4:AJ23" si="1">COUNTIF(D4:AH4,"25")</f>
        <v>0</v>
      </c>
      <c r="AK4" s="2">
        <f t="shared" ref="AK4:AK21" si="2">AJ4*50</f>
        <v>0</v>
      </c>
    </row>
    <row r="5" spans="1:37">
      <c r="A5" s="2">
        <v>3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>
        <f t="shared" si="0"/>
        <v>0</v>
      </c>
      <c r="AJ5" s="8">
        <f t="shared" si="1"/>
        <v>0</v>
      </c>
      <c r="AK5" s="2">
        <f t="shared" si="2"/>
        <v>0</v>
      </c>
    </row>
    <row r="6" spans="1:37">
      <c r="A6" s="2">
        <v>4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>
        <f t="shared" si="0"/>
        <v>0</v>
      </c>
      <c r="AJ6" s="8">
        <f t="shared" si="1"/>
        <v>0</v>
      </c>
      <c r="AK6" s="2">
        <f t="shared" si="2"/>
        <v>0</v>
      </c>
    </row>
    <row r="7" spans="1:37">
      <c r="A7" s="2">
        <v>5</v>
      </c>
      <c r="B7" s="2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3">
        <f t="shared" si="0"/>
        <v>0</v>
      </c>
      <c r="AJ7" s="8">
        <f t="shared" si="1"/>
        <v>0</v>
      </c>
      <c r="AK7" s="2">
        <f t="shared" si="2"/>
        <v>0</v>
      </c>
    </row>
    <row r="8" spans="1:37">
      <c r="A8" s="2">
        <v>6</v>
      </c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">
        <f t="shared" si="0"/>
        <v>0</v>
      </c>
      <c r="AJ8" s="8">
        <f t="shared" si="1"/>
        <v>0</v>
      </c>
      <c r="AK8" s="2">
        <f t="shared" si="2"/>
        <v>0</v>
      </c>
    </row>
    <row r="9" spans="1:37">
      <c r="A9" s="2">
        <v>7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3">
        <f t="shared" si="0"/>
        <v>0</v>
      </c>
      <c r="AJ9" s="8">
        <f t="shared" si="1"/>
        <v>0</v>
      </c>
      <c r="AK9" s="2">
        <f t="shared" si="2"/>
        <v>0</v>
      </c>
    </row>
    <row r="10" spans="1:37">
      <c r="A10" s="2">
        <v>8</v>
      </c>
      <c r="B10" s="2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3">
        <f t="shared" si="0"/>
        <v>0</v>
      </c>
      <c r="AJ10" s="8">
        <f t="shared" si="1"/>
        <v>0</v>
      </c>
      <c r="AK10" s="2">
        <f t="shared" si="2"/>
        <v>0</v>
      </c>
    </row>
    <row r="11" spans="1:37">
      <c r="A11" s="2">
        <v>9</v>
      </c>
      <c r="B11" s="2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>
        <f t="shared" si="0"/>
        <v>0</v>
      </c>
      <c r="AJ11" s="8">
        <f t="shared" si="1"/>
        <v>0</v>
      </c>
      <c r="AK11" s="2">
        <f t="shared" si="2"/>
        <v>0</v>
      </c>
    </row>
    <row r="12" spans="1:37">
      <c r="A12" s="2">
        <v>10</v>
      </c>
      <c r="B12" s="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>
        <f t="shared" si="0"/>
        <v>0</v>
      </c>
      <c r="AJ12" s="8">
        <f t="shared" si="1"/>
        <v>0</v>
      </c>
      <c r="AK12" s="2">
        <f t="shared" si="2"/>
        <v>0</v>
      </c>
    </row>
    <row r="13" spans="1:37">
      <c r="A13" s="2">
        <v>11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3">
        <f t="shared" si="0"/>
        <v>0</v>
      </c>
      <c r="AJ13" s="8">
        <f t="shared" si="1"/>
        <v>0</v>
      </c>
      <c r="AK13" s="2">
        <f t="shared" si="2"/>
        <v>0</v>
      </c>
    </row>
    <row r="14" spans="1:37">
      <c r="A14" s="2">
        <v>12</v>
      </c>
      <c r="B14" s="2" t="s">
        <v>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>
        <f t="shared" si="0"/>
        <v>0</v>
      </c>
      <c r="AJ14" s="8">
        <f t="shared" si="1"/>
        <v>0</v>
      </c>
      <c r="AK14" s="2">
        <f t="shared" si="2"/>
        <v>0</v>
      </c>
    </row>
    <row r="15" spans="1:37">
      <c r="A15" s="2">
        <v>13</v>
      </c>
      <c r="B15" s="2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3">
        <f t="shared" si="0"/>
        <v>0</v>
      </c>
      <c r="AJ15" s="8">
        <f t="shared" si="1"/>
        <v>0</v>
      </c>
      <c r="AK15" s="2">
        <f t="shared" si="2"/>
        <v>0</v>
      </c>
    </row>
    <row r="16" spans="1:37">
      <c r="A16" s="2">
        <v>14</v>
      </c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3">
        <f t="shared" si="0"/>
        <v>0</v>
      </c>
      <c r="AJ16" s="8">
        <f t="shared" si="1"/>
        <v>0</v>
      </c>
      <c r="AK16" s="2">
        <f t="shared" si="2"/>
        <v>0</v>
      </c>
    </row>
    <row r="17" spans="1:37">
      <c r="A17" s="2">
        <v>15</v>
      </c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3">
        <f t="shared" si="0"/>
        <v>0</v>
      </c>
      <c r="AJ17" s="8">
        <f t="shared" si="1"/>
        <v>0</v>
      </c>
      <c r="AK17" s="2">
        <f t="shared" si="2"/>
        <v>0</v>
      </c>
    </row>
    <row r="18" spans="1:37">
      <c r="A18" s="2">
        <v>16</v>
      </c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3">
        <f t="shared" si="0"/>
        <v>0</v>
      </c>
      <c r="AJ18" s="8">
        <f t="shared" si="1"/>
        <v>0</v>
      </c>
      <c r="AK18" s="2">
        <f t="shared" si="2"/>
        <v>0</v>
      </c>
    </row>
    <row r="19" spans="1:37">
      <c r="A19" s="2">
        <v>17</v>
      </c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>
        <f t="shared" si="0"/>
        <v>0</v>
      </c>
      <c r="AJ19" s="8">
        <f t="shared" si="1"/>
        <v>0</v>
      </c>
      <c r="AK19" s="2">
        <f t="shared" si="2"/>
        <v>0</v>
      </c>
    </row>
    <row r="20" spans="1:37">
      <c r="A20" s="2">
        <v>18</v>
      </c>
      <c r="B20" s="2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>
        <f t="shared" si="0"/>
        <v>0</v>
      </c>
      <c r="AJ20" s="8">
        <f t="shared" si="1"/>
        <v>0</v>
      </c>
      <c r="AK20" s="2">
        <f t="shared" si="2"/>
        <v>0</v>
      </c>
    </row>
    <row r="21" spans="1:37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>
        <f t="shared" si="0"/>
        <v>0</v>
      </c>
      <c r="AJ21" s="8">
        <f t="shared" si="1"/>
        <v>0</v>
      </c>
      <c r="AK21" s="2">
        <f t="shared" si="2"/>
        <v>0</v>
      </c>
    </row>
    <row r="22" spans="1:37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8">
        <f t="shared" si="1"/>
        <v>0</v>
      </c>
      <c r="AK22" s="2"/>
    </row>
    <row r="23" spans="1:37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8">
        <f t="shared" si="1"/>
        <v>0</v>
      </c>
      <c r="AK23" s="2"/>
    </row>
  </sheetData>
  <mergeCells count="1">
    <mergeCell ref="A1:AK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W635"/>
  <sheetViews>
    <sheetView zoomScale="88" zoomScaleNormal="88" workbookViewId="0">
      <pane xSplit="1" ySplit="2" topLeftCell="I19" activePane="bottomRight" state="frozen"/>
      <selection pane="topRight" activeCell="B1" sqref="B1"/>
      <selection pane="bottomLeft" activeCell="A3" sqref="A3"/>
      <selection pane="bottomRight" activeCell="X3" sqref="X3:X32"/>
    </sheetView>
  </sheetViews>
  <sheetFormatPr defaultColWidth="9" defaultRowHeight="14.4"/>
  <cols>
    <col min="1" max="1" width="13.33203125" style="31" customWidth="1"/>
    <col min="2" max="2" width="8.88671875" style="1" customWidth="1"/>
    <col min="3" max="3" width="10.88671875" style="1" customWidth="1"/>
    <col min="4" max="4" width="7.6640625" style="1" customWidth="1"/>
    <col min="5" max="5" width="9.44140625" style="1" customWidth="1"/>
    <col min="6" max="6" width="9.88671875" style="1" customWidth="1"/>
    <col min="7" max="7" width="9.33203125" style="1" customWidth="1"/>
    <col min="8" max="8" width="14.21875" style="1" customWidth="1"/>
    <col min="9" max="10" width="10.77734375" style="1" customWidth="1"/>
    <col min="11" max="11" width="12.6640625" style="1" customWidth="1"/>
    <col min="12" max="12" width="9.5546875" style="1" hidden="1" customWidth="1"/>
    <col min="13" max="13" width="9.88671875" style="1" customWidth="1"/>
    <col min="14" max="14" width="9.77734375" style="1" customWidth="1"/>
    <col min="15" max="15" width="7.5546875" style="47" customWidth="1"/>
    <col min="16" max="16" width="7.5546875" style="1" customWidth="1"/>
    <col min="17" max="17" width="9.77734375" style="47" customWidth="1"/>
    <col min="18" max="20" width="9" style="47" customWidth="1"/>
    <col min="21" max="21" width="6.5546875" style="47" customWidth="1"/>
    <col min="22" max="24" width="9" style="47" customWidth="1"/>
    <col min="25" max="25" width="9" style="1" customWidth="1"/>
    <col min="26" max="26" width="11.33203125" style="1" customWidth="1"/>
    <col min="27" max="31" width="9" style="1" customWidth="1"/>
    <col min="32" max="32" width="10" style="1" customWidth="1"/>
    <col min="33" max="34" width="9" style="1" customWidth="1"/>
    <col min="35" max="35" width="7.33203125" style="45" customWidth="1"/>
    <col min="36" max="38" width="7.6640625" style="45" customWidth="1"/>
    <col min="39" max="40" width="7.88671875" style="1" customWidth="1"/>
    <col min="41" max="43" width="7.6640625" style="1" customWidth="1"/>
    <col min="44" max="45" width="8.77734375" style="1" customWidth="1"/>
    <col min="46" max="46" width="6.88671875" style="97" customWidth="1"/>
    <col min="47" max="48" width="10.109375" style="97" customWidth="1"/>
    <col min="49" max="49" width="8.6640625" style="1" customWidth="1"/>
    <col min="50" max="50" width="11.44140625" style="97" customWidth="1"/>
    <col min="51" max="52" width="8.6640625" style="1" customWidth="1"/>
    <col min="53" max="53" width="10" style="1" customWidth="1"/>
    <col min="54" max="54" width="11.5546875" style="1" bestFit="1" customWidth="1"/>
    <col min="55" max="55" width="9.77734375" style="1" bestFit="1" customWidth="1"/>
    <col min="56" max="56" width="8.6640625" style="1" customWidth="1"/>
    <col min="57" max="57" width="8" style="59" customWidth="1"/>
    <col min="58" max="58" width="7.21875" style="59" customWidth="1"/>
    <col min="59" max="59" width="9.88671875" style="59" customWidth="1"/>
    <col min="60" max="60" width="7.6640625" style="59" customWidth="1"/>
    <col min="61" max="64" width="7.109375" style="59" customWidth="1"/>
    <col min="65" max="65" width="11.21875" style="97" customWidth="1"/>
    <col min="66" max="66" width="10" style="97" customWidth="1"/>
    <col min="67" max="69" width="7.109375" style="97" hidden="1" customWidth="1"/>
    <col min="70" max="73" width="8.77734375" style="97" hidden="1" customWidth="1"/>
    <col min="74" max="77" width="7.21875" style="62" customWidth="1"/>
    <col min="78" max="78" width="9" style="62" customWidth="1"/>
    <col min="79" max="79" width="8.33203125" style="62" customWidth="1"/>
    <col min="80" max="87" width="7.6640625" style="97" customWidth="1"/>
    <col min="88" max="88" width="10.21875" style="1" customWidth="1"/>
    <col min="89" max="89" width="8.21875" style="1" customWidth="1"/>
    <col min="90" max="91" width="7.44140625" style="1" customWidth="1"/>
    <col min="92" max="92" width="7.88671875" style="1" customWidth="1"/>
    <col min="93" max="93" width="7.6640625" style="1" customWidth="1"/>
    <col min="94" max="94" width="9.33203125" style="1" customWidth="1"/>
    <col min="95" max="96" width="7.77734375" style="1" customWidth="1"/>
    <col min="97" max="98" width="7.6640625" style="1" customWidth="1"/>
    <col min="99" max="99" width="8.6640625" style="229" customWidth="1"/>
    <col min="100" max="100" width="8.109375" style="47" customWidth="1"/>
    <col min="101" max="101" width="9" style="83" customWidth="1"/>
    <col min="102" max="102" width="7.77734375" style="83" customWidth="1"/>
    <col min="103" max="104" width="9" style="83" customWidth="1"/>
    <col min="105" max="105" width="6.5546875" style="83" customWidth="1"/>
    <col min="106" max="106" width="7.21875" style="83" customWidth="1"/>
    <col min="107" max="107" width="8.5546875" style="83" customWidth="1"/>
    <col min="108" max="108" width="11.6640625" style="18" customWidth="1"/>
    <col min="109" max="109" width="13.109375" style="18" customWidth="1"/>
    <col min="110" max="110" width="10" style="18" customWidth="1"/>
    <col min="111" max="111" width="6.88671875" style="18" customWidth="1"/>
    <col min="112" max="114" width="9.77734375" style="18" customWidth="1"/>
    <col min="115" max="115" width="6.88671875" style="18" customWidth="1"/>
    <col min="116" max="117" width="11.109375" style="18" customWidth="1"/>
    <col min="118" max="118" width="11.5546875" style="63" bestFit="1" customWidth="1"/>
    <col min="119" max="119" width="8.5546875" bestFit="1" customWidth="1"/>
    <col min="120" max="120" width="9" style="121"/>
    <col min="121" max="121" width="9.33203125" bestFit="1" customWidth="1"/>
    <col min="122" max="122" width="10.21875" bestFit="1" customWidth="1"/>
  </cols>
  <sheetData>
    <row r="1" spans="1:153" s="141" customFormat="1" ht="18" customHeight="1">
      <c r="A1" s="132" t="s">
        <v>120</v>
      </c>
      <c r="B1" s="133"/>
      <c r="C1" s="133"/>
      <c r="D1" s="133"/>
      <c r="E1" s="133"/>
      <c r="F1" s="133"/>
      <c r="G1" s="134"/>
      <c r="H1" s="133"/>
      <c r="I1" s="133"/>
      <c r="J1" s="133"/>
      <c r="K1" s="135"/>
      <c r="L1" s="133"/>
      <c r="M1" s="146"/>
      <c r="N1" s="147" t="s">
        <v>67</v>
      </c>
      <c r="O1" s="147"/>
      <c r="P1" s="147"/>
      <c r="Q1" s="148"/>
      <c r="R1" s="136"/>
      <c r="S1" s="201"/>
      <c r="T1" s="201"/>
      <c r="U1" s="201"/>
      <c r="V1" s="201"/>
      <c r="W1" s="201"/>
      <c r="X1" s="201"/>
      <c r="Y1" s="136"/>
      <c r="Z1" s="143" t="s">
        <v>124</v>
      </c>
      <c r="AA1" s="143"/>
      <c r="AB1" s="143"/>
      <c r="AC1" s="143"/>
      <c r="AD1" s="143"/>
      <c r="AE1" s="143"/>
      <c r="AF1" s="131" t="s">
        <v>56</v>
      </c>
      <c r="AG1" s="136"/>
      <c r="AH1" s="136"/>
      <c r="AI1" s="131"/>
      <c r="AJ1" s="131"/>
      <c r="AK1" s="131"/>
      <c r="AL1" s="365" t="s">
        <v>32</v>
      </c>
      <c r="AM1" s="366"/>
      <c r="AN1" s="366"/>
      <c r="AO1" s="366"/>
      <c r="AP1" s="366"/>
      <c r="AQ1" s="366"/>
      <c r="AR1" s="366"/>
      <c r="AS1" s="366"/>
      <c r="AT1" s="378" t="s">
        <v>148</v>
      </c>
      <c r="AU1" s="378"/>
      <c r="AV1" s="378"/>
      <c r="AW1" s="378"/>
      <c r="AX1" s="378"/>
      <c r="AY1" s="378"/>
      <c r="AZ1" s="378"/>
      <c r="BA1" s="378"/>
      <c r="BB1" s="378"/>
      <c r="BC1" s="378"/>
      <c r="BD1" s="379"/>
      <c r="BE1" s="380" t="s">
        <v>149</v>
      </c>
      <c r="BF1" s="381"/>
      <c r="BG1" s="381"/>
      <c r="BH1" s="381"/>
      <c r="BI1" s="381"/>
      <c r="BJ1" s="381"/>
      <c r="BK1" s="381"/>
      <c r="BL1" s="381"/>
      <c r="BM1" s="381"/>
      <c r="BN1" s="381"/>
      <c r="BO1" s="127" t="s">
        <v>122</v>
      </c>
      <c r="BP1" s="127"/>
      <c r="BQ1" s="127"/>
      <c r="BR1" s="127"/>
      <c r="BS1" s="127"/>
      <c r="BT1" s="127"/>
      <c r="BU1" s="127"/>
      <c r="BV1" s="137" t="s">
        <v>95</v>
      </c>
      <c r="BW1" s="137"/>
      <c r="BX1" s="137"/>
      <c r="BY1" s="137"/>
      <c r="BZ1" s="137"/>
      <c r="CA1" s="137"/>
      <c r="CB1" s="138"/>
      <c r="CC1" s="212" t="s">
        <v>155</v>
      </c>
      <c r="CD1" s="212"/>
      <c r="CE1" s="212"/>
      <c r="CF1" s="212"/>
      <c r="CG1" s="212"/>
      <c r="CH1" s="212"/>
      <c r="CI1" s="212"/>
      <c r="CJ1" s="367" t="s">
        <v>78</v>
      </c>
      <c r="CK1" s="367"/>
      <c r="CL1" s="367"/>
      <c r="CM1" s="367"/>
      <c r="CN1" s="367"/>
      <c r="CO1" s="367"/>
      <c r="CP1" s="367"/>
      <c r="CQ1" s="367"/>
      <c r="CR1" s="367"/>
      <c r="CS1" s="367"/>
      <c r="CT1" s="367"/>
      <c r="CU1" s="367"/>
      <c r="CV1" s="367"/>
      <c r="CW1" s="370" t="s">
        <v>60</v>
      </c>
      <c r="CX1" s="371"/>
      <c r="CY1" s="371"/>
      <c r="CZ1" s="371"/>
      <c r="DA1" s="371"/>
      <c r="DB1" s="371"/>
      <c r="DC1" s="139"/>
      <c r="DD1" s="368" t="s">
        <v>70</v>
      </c>
      <c r="DE1" s="368"/>
      <c r="DF1" s="368"/>
      <c r="DG1" s="368"/>
      <c r="DH1" s="368"/>
      <c r="DI1" s="368"/>
      <c r="DJ1" s="368"/>
      <c r="DK1" s="368"/>
      <c r="DL1" s="369"/>
      <c r="DM1" s="198"/>
      <c r="DN1" s="140"/>
      <c r="DP1" s="67"/>
    </row>
    <row r="2" spans="1:153" s="47" customFormat="1" ht="63" customHeight="1">
      <c r="A2" s="157" t="s">
        <v>25</v>
      </c>
      <c r="B2" s="154" t="s">
        <v>83</v>
      </c>
      <c r="C2" s="154" t="s">
        <v>84</v>
      </c>
      <c r="D2" s="154" t="s">
        <v>85</v>
      </c>
      <c r="E2" s="154" t="s">
        <v>86</v>
      </c>
      <c r="F2" s="154" t="s">
        <v>73</v>
      </c>
      <c r="G2" s="167" t="s">
        <v>28</v>
      </c>
      <c r="H2" s="154" t="s">
        <v>87</v>
      </c>
      <c r="I2" s="154" t="s">
        <v>29</v>
      </c>
      <c r="J2" s="154" t="s">
        <v>30</v>
      </c>
      <c r="K2" s="168" t="s">
        <v>31</v>
      </c>
      <c r="L2" s="154" t="s">
        <v>81</v>
      </c>
      <c r="M2" s="156" t="s">
        <v>88</v>
      </c>
      <c r="N2" s="156" t="s">
        <v>34</v>
      </c>
      <c r="O2" s="156" t="s">
        <v>74</v>
      </c>
      <c r="P2" s="156" t="s">
        <v>89</v>
      </c>
      <c r="Q2" s="156" t="s">
        <v>90</v>
      </c>
      <c r="R2" s="156" t="s">
        <v>91</v>
      </c>
      <c r="S2" s="202" t="s">
        <v>136</v>
      </c>
      <c r="T2" s="202" t="s">
        <v>163</v>
      </c>
      <c r="U2" s="202" t="s">
        <v>83</v>
      </c>
      <c r="V2" s="202" t="s">
        <v>143</v>
      </c>
      <c r="W2" s="202" t="s">
        <v>137</v>
      </c>
      <c r="X2" s="202" t="s">
        <v>141</v>
      </c>
      <c r="Y2" s="156" t="s">
        <v>82</v>
      </c>
      <c r="Z2" s="169" t="s">
        <v>118</v>
      </c>
      <c r="AA2" s="169" t="s">
        <v>125</v>
      </c>
      <c r="AB2" s="169" t="s">
        <v>132</v>
      </c>
      <c r="AC2" s="169" t="s">
        <v>126</v>
      </c>
      <c r="AD2" s="169" t="s">
        <v>55</v>
      </c>
      <c r="AE2" s="169" t="s">
        <v>66</v>
      </c>
      <c r="AF2" s="156" t="s">
        <v>118</v>
      </c>
      <c r="AG2" s="156" t="s">
        <v>119</v>
      </c>
      <c r="AH2" s="156" t="s">
        <v>132</v>
      </c>
      <c r="AI2" s="158" t="s">
        <v>103</v>
      </c>
      <c r="AJ2" s="158" t="s">
        <v>55</v>
      </c>
      <c r="AK2" s="156" t="s">
        <v>66</v>
      </c>
      <c r="AL2" s="169" t="s">
        <v>133</v>
      </c>
      <c r="AM2" s="169" t="s">
        <v>35</v>
      </c>
      <c r="AN2" s="169" t="s">
        <v>36</v>
      </c>
      <c r="AO2" s="169" t="s">
        <v>37</v>
      </c>
      <c r="AP2" s="186" t="s">
        <v>77</v>
      </c>
      <c r="AQ2" s="186" t="s">
        <v>116</v>
      </c>
      <c r="AR2" s="186" t="s">
        <v>76</v>
      </c>
      <c r="AS2" s="169" t="s">
        <v>66</v>
      </c>
      <c r="AT2" s="159" t="s">
        <v>131</v>
      </c>
      <c r="AU2" s="159" t="s">
        <v>127</v>
      </c>
      <c r="AV2" s="159" t="s">
        <v>128</v>
      </c>
      <c r="AW2" s="159" t="s">
        <v>38</v>
      </c>
      <c r="AX2" s="159" t="s">
        <v>129</v>
      </c>
      <c r="AY2" s="159" t="s">
        <v>61</v>
      </c>
      <c r="AZ2" s="160" t="s">
        <v>92</v>
      </c>
      <c r="BA2" s="160" t="s">
        <v>93</v>
      </c>
      <c r="BB2" s="159" t="s">
        <v>55</v>
      </c>
      <c r="BC2" s="161" t="s">
        <v>53</v>
      </c>
      <c r="BD2" s="160" t="s">
        <v>54</v>
      </c>
      <c r="BE2" s="162" t="s">
        <v>99</v>
      </c>
      <c r="BF2" s="162" t="s">
        <v>100</v>
      </c>
      <c r="BG2" s="162" t="s">
        <v>55</v>
      </c>
      <c r="BH2" s="162" t="s">
        <v>53</v>
      </c>
      <c r="BI2" s="162" t="s">
        <v>111</v>
      </c>
      <c r="BJ2" s="162" t="s">
        <v>150</v>
      </c>
      <c r="BK2" s="162" t="s">
        <v>129</v>
      </c>
      <c r="BL2" s="209" t="s">
        <v>130</v>
      </c>
      <c r="BM2" s="209" t="s">
        <v>152</v>
      </c>
      <c r="BN2" s="162" t="s">
        <v>145</v>
      </c>
      <c r="BO2" s="163" t="s">
        <v>121</v>
      </c>
      <c r="BP2" s="163" t="s">
        <v>92</v>
      </c>
      <c r="BQ2" s="163" t="s">
        <v>93</v>
      </c>
      <c r="BR2" s="163" t="s">
        <v>123</v>
      </c>
      <c r="BS2" s="163" t="s">
        <v>146</v>
      </c>
      <c r="BT2" s="163" t="s">
        <v>151</v>
      </c>
      <c r="BU2" s="163" t="s">
        <v>147</v>
      </c>
      <c r="BV2" s="155" t="s">
        <v>35</v>
      </c>
      <c r="BW2" s="155" t="s">
        <v>55</v>
      </c>
      <c r="BX2" s="155" t="s">
        <v>131</v>
      </c>
      <c r="BY2" s="155" t="s">
        <v>129</v>
      </c>
      <c r="BZ2" s="210" t="s">
        <v>130</v>
      </c>
      <c r="CA2" s="155" t="s">
        <v>153</v>
      </c>
      <c r="CB2" s="155" t="s">
        <v>144</v>
      </c>
      <c r="CC2" s="213" t="s">
        <v>35</v>
      </c>
      <c r="CD2" s="213" t="s">
        <v>55</v>
      </c>
      <c r="CE2" s="213" t="s">
        <v>131</v>
      </c>
      <c r="CF2" s="213" t="s">
        <v>129</v>
      </c>
      <c r="CG2" s="214" t="s">
        <v>130</v>
      </c>
      <c r="CH2" s="213" t="s">
        <v>153</v>
      </c>
      <c r="CI2" s="213" t="s">
        <v>144</v>
      </c>
      <c r="CJ2" s="94" t="s">
        <v>39</v>
      </c>
      <c r="CK2" s="170" t="s">
        <v>40</v>
      </c>
      <c r="CL2" s="94" t="s">
        <v>41</v>
      </c>
      <c r="CM2" s="94" t="s">
        <v>42</v>
      </c>
      <c r="CN2" s="94" t="s">
        <v>44</v>
      </c>
      <c r="CO2" s="94" t="s">
        <v>43</v>
      </c>
      <c r="CP2" s="94" t="s">
        <v>96</v>
      </c>
      <c r="CQ2" s="94" t="s">
        <v>95</v>
      </c>
      <c r="CR2" s="94" t="s">
        <v>156</v>
      </c>
      <c r="CS2" s="94" t="s">
        <v>140</v>
      </c>
      <c r="CT2" s="94" t="s">
        <v>158</v>
      </c>
      <c r="CU2" s="159" t="s">
        <v>45</v>
      </c>
      <c r="CV2" s="94" t="s">
        <v>46</v>
      </c>
      <c r="CW2" s="164" t="s">
        <v>26</v>
      </c>
      <c r="CX2" s="164" t="s">
        <v>48</v>
      </c>
      <c r="CY2" s="164" t="s">
        <v>27</v>
      </c>
      <c r="CZ2" s="164" t="s">
        <v>49</v>
      </c>
      <c r="DA2" s="165" t="s">
        <v>138</v>
      </c>
      <c r="DB2" s="164" t="s">
        <v>50</v>
      </c>
      <c r="DC2" s="165" t="s">
        <v>80</v>
      </c>
      <c r="DD2" s="166" t="s">
        <v>62</v>
      </c>
      <c r="DE2" s="166" t="s">
        <v>43</v>
      </c>
      <c r="DF2" s="166" t="s">
        <v>33</v>
      </c>
      <c r="DG2" s="166" t="s">
        <v>97</v>
      </c>
      <c r="DH2" s="166" t="s">
        <v>95</v>
      </c>
      <c r="DI2" s="166" t="s">
        <v>156</v>
      </c>
      <c r="DJ2" s="166" t="s">
        <v>139</v>
      </c>
      <c r="DK2" s="166" t="s">
        <v>79</v>
      </c>
      <c r="DL2" s="166" t="s">
        <v>69</v>
      </c>
      <c r="DM2" s="199" t="s">
        <v>142</v>
      </c>
      <c r="DN2" s="211" t="s">
        <v>154</v>
      </c>
      <c r="DO2" s="225" t="s">
        <v>162</v>
      </c>
      <c r="DP2" s="171" t="s">
        <v>117</v>
      </c>
      <c r="DQ2" s="222" t="s">
        <v>159</v>
      </c>
      <c r="DR2" s="47" t="s">
        <v>160</v>
      </c>
    </row>
    <row r="3" spans="1:153" ht="15.6">
      <c r="A3" s="32">
        <v>46174</v>
      </c>
      <c r="B3" s="34"/>
      <c r="C3" s="4">
        <v>98</v>
      </c>
      <c r="D3" s="4">
        <v>37</v>
      </c>
      <c r="E3" s="4"/>
      <c r="F3" s="4">
        <f>+B3+C3+D3+E3</f>
        <v>135</v>
      </c>
      <c r="G3" s="4">
        <f t="shared" ref="G3:G33" si="0">B3*30</f>
        <v>0</v>
      </c>
      <c r="H3" s="4">
        <f t="shared" ref="H3:H33" si="1">C3*30</f>
        <v>2940</v>
      </c>
      <c r="I3" s="4">
        <f t="shared" ref="I3:I33" si="2">D3*30</f>
        <v>1110</v>
      </c>
      <c r="J3" s="4">
        <f t="shared" ref="J3:J33" si="3">E3*30</f>
        <v>0</v>
      </c>
      <c r="K3" s="12">
        <f t="shared" ref="K3:K33" si="4">G3+H3+I3+J3</f>
        <v>4050</v>
      </c>
      <c r="L3" s="54">
        <f t="shared" ref="L3:L33" si="5">ROUNDUP(K3/2.7,0)</f>
        <v>1500</v>
      </c>
      <c r="M3" s="149">
        <v>2</v>
      </c>
      <c r="N3" s="123">
        <v>15.8</v>
      </c>
      <c r="O3" s="123">
        <v>16</v>
      </c>
      <c r="P3" s="123">
        <v>106.25</v>
      </c>
      <c r="Q3" s="123">
        <v>14.65</v>
      </c>
      <c r="R3" s="123">
        <v>0</v>
      </c>
      <c r="S3" s="203">
        <v>5</v>
      </c>
      <c r="T3" s="203">
        <v>37</v>
      </c>
      <c r="U3" s="203"/>
      <c r="V3" s="203">
        <f>+T3+U3</f>
        <v>37</v>
      </c>
      <c r="W3" s="203">
        <v>14.8</v>
      </c>
      <c r="X3" s="203">
        <v>350</v>
      </c>
      <c r="Y3" s="123">
        <f>P3-Q3-R3</f>
        <v>91.6</v>
      </c>
      <c r="Z3" s="144"/>
      <c r="AA3" s="144"/>
      <c r="AB3" s="144"/>
      <c r="AC3" s="144"/>
      <c r="AD3" s="144"/>
      <c r="AE3" s="144"/>
      <c r="AF3" s="123">
        <v>8.3000000000000007</v>
      </c>
      <c r="AG3" s="123">
        <v>0</v>
      </c>
      <c r="AH3" s="123">
        <v>3</v>
      </c>
      <c r="AI3" s="123">
        <v>71</v>
      </c>
      <c r="AJ3" s="123">
        <f>AI3*29</f>
        <v>2059</v>
      </c>
      <c r="AK3" s="123">
        <v>300</v>
      </c>
      <c r="AL3" s="144">
        <v>1</v>
      </c>
      <c r="AM3" s="144">
        <v>6</v>
      </c>
      <c r="AN3" s="144">
        <v>31</v>
      </c>
      <c r="AO3" s="144">
        <v>186</v>
      </c>
      <c r="AP3" s="187">
        <v>186</v>
      </c>
      <c r="AQ3" s="187">
        <v>0</v>
      </c>
      <c r="AR3" s="187">
        <f>AO3-AP3-AQ3</f>
        <v>0</v>
      </c>
      <c r="AS3" s="188">
        <v>0</v>
      </c>
      <c r="AT3" s="6">
        <v>3</v>
      </c>
      <c r="AU3" s="6">
        <v>314</v>
      </c>
      <c r="AV3" s="6">
        <v>0</v>
      </c>
      <c r="AW3" s="53">
        <v>0</v>
      </c>
      <c r="AX3" s="6">
        <v>21.2</v>
      </c>
      <c r="AY3" s="55">
        <v>8.31</v>
      </c>
      <c r="AZ3" s="55">
        <v>9</v>
      </c>
      <c r="BA3" s="55">
        <v>9</v>
      </c>
      <c r="BB3" s="84">
        <v>1100</v>
      </c>
      <c r="BC3" s="84">
        <v>500</v>
      </c>
      <c r="BD3" s="85">
        <f>BB3-BC3</f>
        <v>600</v>
      </c>
      <c r="BE3" s="100"/>
      <c r="BF3" s="100"/>
      <c r="BG3" s="100"/>
      <c r="BH3" s="100"/>
      <c r="BI3" s="100"/>
      <c r="BJ3" s="100"/>
      <c r="BK3" s="100"/>
      <c r="BL3" s="100"/>
      <c r="BM3" s="100"/>
      <c r="BN3" s="100">
        <f>BL3+BM3</f>
        <v>0</v>
      </c>
      <c r="BO3" s="126">
        <f t="shared" ref="BO3:BO33" si="6">+AY3+BE3</f>
        <v>8.31</v>
      </c>
      <c r="BP3" s="126">
        <f t="shared" ref="BP3:BP33" si="7">AZ3+BE3</f>
        <v>9</v>
      </c>
      <c r="BQ3" s="126">
        <f t="shared" ref="BQ3:BQ33" si="8">BA3+BF3</f>
        <v>9</v>
      </c>
      <c r="BR3" s="126">
        <f t="shared" ref="BR3:BR33" si="9">+BB3+BG3</f>
        <v>1100</v>
      </c>
      <c r="BS3" s="126">
        <f t="shared" ref="BS3:BS33" si="10">AX3+BK3</f>
        <v>21.2</v>
      </c>
      <c r="BT3" s="126">
        <f>BM3+AV3</f>
        <v>0</v>
      </c>
      <c r="BU3" s="126">
        <f>+BT3+BL3+AU3</f>
        <v>314</v>
      </c>
      <c r="BV3" s="77"/>
      <c r="BW3" s="77"/>
      <c r="BX3" s="77"/>
      <c r="BY3" s="77"/>
      <c r="BZ3" s="77"/>
      <c r="CA3" s="77"/>
      <c r="CB3" s="77">
        <f>+BZ3+CA3</f>
        <v>0</v>
      </c>
      <c r="CC3" s="215">
        <v>8.3000000000000007</v>
      </c>
      <c r="CD3" s="215">
        <v>1640</v>
      </c>
      <c r="CE3" s="215">
        <v>1</v>
      </c>
      <c r="CF3" s="215">
        <v>10.8</v>
      </c>
      <c r="CG3" s="215">
        <v>241</v>
      </c>
      <c r="CH3" s="215">
        <v>170</v>
      </c>
      <c r="CI3" s="215">
        <f>+CG3+CH3</f>
        <v>411</v>
      </c>
      <c r="CJ3" s="4">
        <f>1585-300</f>
        <v>1285</v>
      </c>
      <c r="CK3" s="4">
        <v>460</v>
      </c>
      <c r="CL3" s="49">
        <f>AS3</f>
        <v>0</v>
      </c>
      <c r="CM3" s="4">
        <v>151</v>
      </c>
      <c r="CN3" s="4">
        <f t="shared" ref="CN3:CN16" si="11">AE3</f>
        <v>0</v>
      </c>
      <c r="CO3" s="22">
        <f t="shared" ref="CO3:CO33" si="12">AK3</f>
        <v>300</v>
      </c>
      <c r="CP3" s="4">
        <v>0</v>
      </c>
      <c r="CQ3" s="13"/>
      <c r="CR3" s="13">
        <v>435</v>
      </c>
      <c r="CS3" s="4">
        <f>X3</f>
        <v>350</v>
      </c>
      <c r="CT3" s="4">
        <v>600</v>
      </c>
      <c r="CU3" s="226">
        <f>+CJ3+CK3+CL3+CM3+CN3+CO3+CP3+CQ3+CS3+CR3+CT3</f>
        <v>3581</v>
      </c>
      <c r="CV3" s="4">
        <v>2600</v>
      </c>
      <c r="CW3" s="118">
        <v>1119</v>
      </c>
      <c r="CX3" s="118">
        <f>CV3</f>
        <v>2600</v>
      </c>
      <c r="CY3" s="118">
        <f>+CW3+CX3</f>
        <v>3719</v>
      </c>
      <c r="CZ3" s="119">
        <f>CU3</f>
        <v>3581</v>
      </c>
      <c r="DA3" s="119"/>
      <c r="DB3" s="119">
        <f>CY3-CZ3-DA3</f>
        <v>138</v>
      </c>
      <c r="DC3" s="81">
        <v>2693</v>
      </c>
      <c r="DD3" s="128">
        <f>CN3</f>
        <v>0</v>
      </c>
      <c r="DE3" s="129">
        <f>CO3</f>
        <v>300</v>
      </c>
      <c r="DF3" s="128">
        <f t="shared" ref="DF3:DF33" si="13">AU3+AV3</f>
        <v>314</v>
      </c>
      <c r="DG3" s="130">
        <f t="shared" ref="DG3:DG33" si="14">BN3</f>
        <v>0</v>
      </c>
      <c r="DH3" s="130">
        <f t="shared" ref="DH3:DH33" si="15">CB3</f>
        <v>0</v>
      </c>
      <c r="DI3" s="130">
        <f>CI3</f>
        <v>411</v>
      </c>
      <c r="DJ3" s="130">
        <f t="shared" ref="DJ3:DJ14" si="16">X3</f>
        <v>350</v>
      </c>
      <c r="DK3" s="130">
        <f>CL3</f>
        <v>0</v>
      </c>
      <c r="DL3" s="129">
        <f>DC3-DD3-DE3-DF3-DG3-DH3-DK3-DJ3-DI3</f>
        <v>1318</v>
      </c>
      <c r="DM3" s="200">
        <f>DJ3+DK3+DL3</f>
        <v>1668</v>
      </c>
      <c r="DN3" s="63">
        <v>7237</v>
      </c>
      <c r="DO3" s="120">
        <v>7525</v>
      </c>
      <c r="DP3" s="122">
        <f t="shared" ref="DP3:DP33" si="17">+DF3+DG3+DH3</f>
        <v>314</v>
      </c>
      <c r="DQ3" s="223">
        <v>300</v>
      </c>
    </row>
    <row r="4" spans="1:153" ht="15.6">
      <c r="A4" s="32">
        <f t="shared" ref="A4:A33" si="18">+A3+1</f>
        <v>46175</v>
      </c>
      <c r="B4" s="34"/>
      <c r="C4" s="4">
        <v>113</v>
      </c>
      <c r="D4" s="4">
        <v>62</v>
      </c>
      <c r="E4" s="4"/>
      <c r="F4" s="4">
        <f t="shared" ref="F4:F33" si="19">+B4+C4+D4+E4</f>
        <v>175</v>
      </c>
      <c r="G4" s="4">
        <f t="shared" si="0"/>
        <v>0</v>
      </c>
      <c r="H4" s="4">
        <f t="shared" si="1"/>
        <v>3390</v>
      </c>
      <c r="I4" s="4">
        <f t="shared" si="2"/>
        <v>1860</v>
      </c>
      <c r="J4" s="4">
        <f t="shared" si="3"/>
        <v>0</v>
      </c>
      <c r="K4" s="30">
        <f t="shared" si="4"/>
        <v>5250</v>
      </c>
      <c r="L4" s="54">
        <f t="shared" si="5"/>
        <v>1945</v>
      </c>
      <c r="M4" s="149">
        <v>2</v>
      </c>
      <c r="N4" s="123">
        <v>16.5</v>
      </c>
      <c r="O4" s="123">
        <v>16</v>
      </c>
      <c r="P4" s="123">
        <v>130.65</v>
      </c>
      <c r="Q4" s="123">
        <v>1.7</v>
      </c>
      <c r="R4" s="123">
        <v>21.95</v>
      </c>
      <c r="S4" s="203">
        <v>6</v>
      </c>
      <c r="T4" s="203">
        <v>62</v>
      </c>
      <c r="U4" s="203"/>
      <c r="V4" s="203">
        <f t="shared" ref="V4:V33" si="20">+T4+U4</f>
        <v>62</v>
      </c>
      <c r="W4" s="203">
        <v>17.5</v>
      </c>
      <c r="X4" s="203">
        <v>430</v>
      </c>
      <c r="Y4" s="123">
        <f t="shared" ref="Y4:Y17" si="21">P4-Q4-R4</f>
        <v>107.00000000000001</v>
      </c>
      <c r="Z4" s="144">
        <v>0</v>
      </c>
      <c r="AA4" s="144">
        <v>7.2</v>
      </c>
      <c r="AB4" s="144">
        <v>5</v>
      </c>
      <c r="AC4" s="144">
        <v>68</v>
      </c>
      <c r="AD4" s="144">
        <v>2017.26</v>
      </c>
      <c r="AE4" s="144">
        <v>335</v>
      </c>
      <c r="AF4" s="123">
        <v>1</v>
      </c>
      <c r="AG4" s="123">
        <v>0</v>
      </c>
      <c r="AH4" s="123">
        <v>2</v>
      </c>
      <c r="AI4" s="123">
        <v>8</v>
      </c>
      <c r="AJ4" s="123">
        <f t="shared" ref="AJ4:AJ33" si="22">AI4*29</f>
        <v>232</v>
      </c>
      <c r="AK4" s="123">
        <v>30</v>
      </c>
      <c r="AL4" s="144">
        <v>1</v>
      </c>
      <c r="AM4" s="144">
        <v>5</v>
      </c>
      <c r="AN4" s="144">
        <v>25</v>
      </c>
      <c r="AO4" s="144">
        <v>150</v>
      </c>
      <c r="AP4" s="187">
        <v>150</v>
      </c>
      <c r="AQ4" s="187">
        <v>0</v>
      </c>
      <c r="AR4" s="187">
        <f t="shared" ref="AR4:AR33" si="23">AO4-AP4-AQ4</f>
        <v>0</v>
      </c>
      <c r="AS4" s="187">
        <v>250</v>
      </c>
      <c r="AT4" s="55">
        <v>1</v>
      </c>
      <c r="AU4" s="55">
        <v>145</v>
      </c>
      <c r="AV4" s="55">
        <v>0</v>
      </c>
      <c r="AW4" s="53"/>
      <c r="AX4" s="55">
        <v>9.1</v>
      </c>
      <c r="AY4" s="55">
        <v>7.76</v>
      </c>
      <c r="AZ4" s="55">
        <v>8</v>
      </c>
      <c r="BA4" s="55">
        <v>8</v>
      </c>
      <c r="BB4" s="84">
        <v>1200</v>
      </c>
      <c r="BC4" s="84">
        <v>600</v>
      </c>
      <c r="BD4" s="85">
        <f t="shared" ref="BD4:BD33" si="24">BB4-BC4</f>
        <v>600</v>
      </c>
      <c r="BE4" s="100"/>
      <c r="BF4" s="100"/>
      <c r="BG4" s="100"/>
      <c r="BH4" s="100"/>
      <c r="BI4" s="100"/>
      <c r="BJ4" s="100"/>
      <c r="BK4" s="100"/>
      <c r="BL4" s="100"/>
      <c r="BM4" s="100"/>
      <c r="BN4" s="100">
        <f t="shared" ref="BN4:BN33" si="25">BL4+BM4</f>
        <v>0</v>
      </c>
      <c r="BO4" s="126">
        <f t="shared" si="6"/>
        <v>7.76</v>
      </c>
      <c r="BP4" s="126">
        <f t="shared" si="7"/>
        <v>8</v>
      </c>
      <c r="BQ4" s="126">
        <f t="shared" si="8"/>
        <v>8</v>
      </c>
      <c r="BR4" s="126">
        <f t="shared" si="9"/>
        <v>1200</v>
      </c>
      <c r="BS4" s="126">
        <f t="shared" si="10"/>
        <v>9.1</v>
      </c>
      <c r="BT4" s="126">
        <f t="shared" ref="BT4:BT33" si="26">BM4+AV4</f>
        <v>0</v>
      </c>
      <c r="BU4" s="126">
        <f t="shared" ref="BU4:BU33" si="27">+BT4+BL4+AU4</f>
        <v>145</v>
      </c>
      <c r="BV4" s="77">
        <v>9.6999999999999993</v>
      </c>
      <c r="BW4" s="77">
        <v>1500</v>
      </c>
      <c r="BX4" s="77">
        <v>1</v>
      </c>
      <c r="BY4" s="77">
        <v>9.5</v>
      </c>
      <c r="BZ4" s="77">
        <v>240</v>
      </c>
      <c r="CA4" s="77">
        <v>120</v>
      </c>
      <c r="CB4" s="77">
        <f t="shared" ref="CB4:CB33" si="28">+BZ4+CA4</f>
        <v>360</v>
      </c>
      <c r="CC4" s="215">
        <v>4.3</v>
      </c>
      <c r="CD4" s="215">
        <v>1200</v>
      </c>
      <c r="CE4" s="215">
        <v>1</v>
      </c>
      <c r="CF4" s="215">
        <v>8.4</v>
      </c>
      <c r="CG4" s="215">
        <v>157</v>
      </c>
      <c r="CH4" s="215">
        <v>90</v>
      </c>
      <c r="CI4" s="215">
        <f t="shared" ref="CI4:CI33" si="29">+CG4+CH4</f>
        <v>247</v>
      </c>
      <c r="CJ4" s="4">
        <f>1486-159</f>
        <v>1327</v>
      </c>
      <c r="CK4" s="4">
        <f>250-206</f>
        <v>44</v>
      </c>
      <c r="CL4" s="49">
        <f t="shared" ref="CL4:CL33" si="30">AS4</f>
        <v>250</v>
      </c>
      <c r="CM4" s="4">
        <v>100</v>
      </c>
      <c r="CN4" s="4">
        <f t="shared" si="11"/>
        <v>335</v>
      </c>
      <c r="CO4" s="22">
        <f t="shared" si="12"/>
        <v>30</v>
      </c>
      <c r="CP4" s="4"/>
      <c r="CQ4" s="4">
        <v>200</v>
      </c>
      <c r="CR4" s="4">
        <v>422</v>
      </c>
      <c r="CS4" s="4">
        <f t="shared" ref="CS4:CS33" si="31">X4</f>
        <v>430</v>
      </c>
      <c r="CT4" s="4"/>
      <c r="CU4" s="226">
        <f t="shared" ref="CU4:CU33" si="32">+CJ4+CK4+CL4+CM4+CN4+CO4+CP4+CQ4+CS4+CR4+CT4</f>
        <v>3138</v>
      </c>
      <c r="CV4" s="4">
        <v>3000</v>
      </c>
      <c r="CW4" s="119">
        <f>DB3</f>
        <v>138</v>
      </c>
      <c r="CX4" s="118">
        <f t="shared" ref="CX4:CX33" si="33">CV4</f>
        <v>3000</v>
      </c>
      <c r="CY4" s="118">
        <f t="shared" ref="CY4:CY33" si="34">+CW4+CX4</f>
        <v>3138</v>
      </c>
      <c r="CZ4" s="119">
        <f t="shared" ref="CZ4:CZ33" si="35">CU4</f>
        <v>3138</v>
      </c>
      <c r="DA4" s="119"/>
      <c r="DB4" s="119">
        <f t="shared" ref="DB4:DB33" si="36">CY4-CZ4-DA4</f>
        <v>0</v>
      </c>
      <c r="DC4" s="81">
        <v>3508</v>
      </c>
      <c r="DD4" s="128">
        <f t="shared" ref="DD4:DD33" si="37">CN4</f>
        <v>335</v>
      </c>
      <c r="DE4" s="129">
        <f t="shared" ref="DE4:DE33" si="38">CO4</f>
        <v>30</v>
      </c>
      <c r="DF4" s="128">
        <f t="shared" si="13"/>
        <v>145</v>
      </c>
      <c r="DG4" s="130">
        <f t="shared" si="14"/>
        <v>0</v>
      </c>
      <c r="DH4" s="130">
        <f t="shared" si="15"/>
        <v>360</v>
      </c>
      <c r="DI4" s="130">
        <f t="shared" ref="DI4:DI33" si="39">CI4</f>
        <v>247</v>
      </c>
      <c r="DJ4" s="130">
        <f t="shared" si="16"/>
        <v>430</v>
      </c>
      <c r="DK4" s="130">
        <f>CL4</f>
        <v>250</v>
      </c>
      <c r="DL4" s="129">
        <f t="shared" ref="DL4:DL33" si="40">DC4-DD4-DE4-DF4-DG4-DH4-DK4-DJ4-DI4</f>
        <v>1711</v>
      </c>
      <c r="DM4" s="200">
        <f>DJ4+DK4+DL4</f>
        <v>2391</v>
      </c>
      <c r="DN4" s="63">
        <v>0</v>
      </c>
      <c r="DO4" s="120">
        <v>7155</v>
      </c>
      <c r="DP4" s="122">
        <f t="shared" si="17"/>
        <v>505</v>
      </c>
      <c r="DQ4" s="223"/>
    </row>
    <row r="5" spans="1:153" ht="15.6">
      <c r="A5" s="32">
        <f t="shared" si="18"/>
        <v>46176</v>
      </c>
      <c r="B5" s="34">
        <v>75</v>
      </c>
      <c r="C5" s="4">
        <v>22</v>
      </c>
      <c r="D5" s="4">
        <v>49</v>
      </c>
      <c r="E5" s="4"/>
      <c r="F5" s="4">
        <f t="shared" si="19"/>
        <v>146</v>
      </c>
      <c r="G5" s="4">
        <f t="shared" si="0"/>
        <v>2250</v>
      </c>
      <c r="H5" s="4">
        <f t="shared" si="1"/>
        <v>660</v>
      </c>
      <c r="I5" s="4">
        <f t="shared" si="2"/>
        <v>1470</v>
      </c>
      <c r="J5" s="4">
        <f t="shared" si="3"/>
        <v>0</v>
      </c>
      <c r="K5" s="30">
        <f t="shared" si="4"/>
        <v>4380</v>
      </c>
      <c r="L5" s="54">
        <f t="shared" si="5"/>
        <v>1623</v>
      </c>
      <c r="M5" s="149">
        <v>2</v>
      </c>
      <c r="N5" s="123">
        <v>16.399999999999999</v>
      </c>
      <c r="O5" s="123">
        <v>17</v>
      </c>
      <c r="P5" s="123">
        <v>137.9</v>
      </c>
      <c r="Q5" s="123">
        <v>2</v>
      </c>
      <c r="R5" s="123">
        <v>28.75</v>
      </c>
      <c r="S5" s="203">
        <v>6.6</v>
      </c>
      <c r="T5" s="203">
        <v>45</v>
      </c>
      <c r="U5" s="203"/>
      <c r="V5" s="203">
        <f t="shared" si="20"/>
        <v>45</v>
      </c>
      <c r="W5" s="203">
        <v>17.3</v>
      </c>
      <c r="X5" s="203">
        <v>0</v>
      </c>
      <c r="Y5" s="123">
        <f t="shared" si="21"/>
        <v>107.15</v>
      </c>
      <c r="Z5" s="144">
        <v>6</v>
      </c>
      <c r="AA5" s="144">
        <v>7.4</v>
      </c>
      <c r="AB5" s="144">
        <v>6</v>
      </c>
      <c r="AC5" s="144">
        <v>82</v>
      </c>
      <c r="AD5" s="144">
        <v>2902.3799999999997</v>
      </c>
      <c r="AE5" s="144">
        <v>510</v>
      </c>
      <c r="AF5" s="123">
        <v>1.7</v>
      </c>
      <c r="AG5" s="123">
        <v>0</v>
      </c>
      <c r="AH5" s="123">
        <v>2</v>
      </c>
      <c r="AI5" s="123">
        <v>12</v>
      </c>
      <c r="AJ5" s="123">
        <f t="shared" si="22"/>
        <v>348</v>
      </c>
      <c r="AK5" s="123">
        <v>55</v>
      </c>
      <c r="AL5" s="144">
        <v>1</v>
      </c>
      <c r="AM5" s="144">
        <v>6</v>
      </c>
      <c r="AN5" s="144">
        <v>25</v>
      </c>
      <c r="AO5" s="144">
        <v>150</v>
      </c>
      <c r="AP5" s="187">
        <v>150</v>
      </c>
      <c r="AQ5" s="187"/>
      <c r="AR5" s="187">
        <f t="shared" si="23"/>
        <v>0</v>
      </c>
      <c r="AS5" s="187">
        <v>450</v>
      </c>
      <c r="AT5" s="55">
        <v>3</v>
      </c>
      <c r="AU5" s="55">
        <v>471</v>
      </c>
      <c r="AV5" s="55">
        <v>0</v>
      </c>
      <c r="AW5" s="53">
        <v>0</v>
      </c>
      <c r="AX5" s="55">
        <v>25.8</v>
      </c>
      <c r="AY5" s="55">
        <v>9.4</v>
      </c>
      <c r="AZ5" s="55">
        <v>9</v>
      </c>
      <c r="BA5" s="55">
        <v>9</v>
      </c>
      <c r="BB5" s="84">
        <v>1300</v>
      </c>
      <c r="BC5" s="84">
        <v>700</v>
      </c>
      <c r="BD5" s="85">
        <f t="shared" si="24"/>
        <v>600</v>
      </c>
      <c r="BE5" s="100"/>
      <c r="BF5" s="100"/>
      <c r="BG5" s="100"/>
      <c r="BH5" s="100"/>
      <c r="BI5" s="100"/>
      <c r="BJ5" s="100"/>
      <c r="BK5" s="100"/>
      <c r="BL5" s="100"/>
      <c r="BM5" s="100"/>
      <c r="BN5" s="100">
        <f t="shared" si="25"/>
        <v>0</v>
      </c>
      <c r="BO5" s="126">
        <f t="shared" si="6"/>
        <v>9.4</v>
      </c>
      <c r="BP5" s="126">
        <f t="shared" si="7"/>
        <v>9</v>
      </c>
      <c r="BQ5" s="126">
        <f t="shared" si="8"/>
        <v>9</v>
      </c>
      <c r="BR5" s="126">
        <f t="shared" si="9"/>
        <v>1300</v>
      </c>
      <c r="BS5" s="126">
        <f t="shared" si="10"/>
        <v>25.8</v>
      </c>
      <c r="BT5" s="126">
        <f t="shared" si="26"/>
        <v>0</v>
      </c>
      <c r="BU5" s="126">
        <f t="shared" si="27"/>
        <v>471</v>
      </c>
      <c r="BV5" s="77">
        <v>9</v>
      </c>
      <c r="BW5" s="77">
        <v>1500</v>
      </c>
      <c r="BX5" s="77">
        <v>1</v>
      </c>
      <c r="BY5" s="77">
        <v>8.8000000000000007</v>
      </c>
      <c r="BZ5" s="77">
        <v>0</v>
      </c>
      <c r="CA5" s="77">
        <v>70</v>
      </c>
      <c r="CB5" s="77">
        <f t="shared" si="28"/>
        <v>70</v>
      </c>
      <c r="CC5" s="215">
        <v>5.4</v>
      </c>
      <c r="CD5" s="215">
        <v>1500</v>
      </c>
      <c r="CE5" s="215">
        <v>1</v>
      </c>
      <c r="CF5" s="215">
        <v>7.8</v>
      </c>
      <c r="CG5" s="215">
        <v>160</v>
      </c>
      <c r="CH5" s="215">
        <v>110</v>
      </c>
      <c r="CI5" s="215">
        <f t="shared" si="29"/>
        <v>270</v>
      </c>
      <c r="CJ5" s="4">
        <f>1660-375</f>
        <v>1285</v>
      </c>
      <c r="CK5" s="4">
        <f>559-190</f>
        <v>369</v>
      </c>
      <c r="CL5" s="49">
        <f t="shared" si="30"/>
        <v>450</v>
      </c>
      <c r="CM5" s="4">
        <v>171</v>
      </c>
      <c r="CN5" s="4">
        <f t="shared" si="11"/>
        <v>510</v>
      </c>
      <c r="CO5" s="22">
        <f t="shared" si="12"/>
        <v>55</v>
      </c>
      <c r="CP5" s="4">
        <v>0</v>
      </c>
      <c r="CQ5" s="4">
        <v>200</v>
      </c>
      <c r="CR5" s="4">
        <v>400</v>
      </c>
      <c r="CS5" s="4">
        <f t="shared" si="31"/>
        <v>0</v>
      </c>
      <c r="CT5" s="4"/>
      <c r="CU5" s="226">
        <f t="shared" si="32"/>
        <v>3440</v>
      </c>
      <c r="CV5" s="4">
        <v>3500</v>
      </c>
      <c r="CW5" s="119">
        <f t="shared" ref="CW5:CW33" si="41">DB4</f>
        <v>0</v>
      </c>
      <c r="CX5" s="118">
        <f t="shared" si="33"/>
        <v>3500</v>
      </c>
      <c r="CY5" s="118">
        <f t="shared" si="34"/>
        <v>3500</v>
      </c>
      <c r="CZ5" s="119">
        <f t="shared" si="35"/>
        <v>3440</v>
      </c>
      <c r="DA5" s="119"/>
      <c r="DB5" s="119">
        <f t="shared" si="36"/>
        <v>60</v>
      </c>
      <c r="DC5" s="81">
        <v>3508</v>
      </c>
      <c r="DD5" s="128">
        <f t="shared" si="37"/>
        <v>510</v>
      </c>
      <c r="DE5" s="129">
        <f t="shared" si="38"/>
        <v>55</v>
      </c>
      <c r="DF5" s="128">
        <f t="shared" si="13"/>
        <v>471</v>
      </c>
      <c r="DG5" s="130">
        <f t="shared" si="14"/>
        <v>0</v>
      </c>
      <c r="DH5" s="130">
        <f t="shared" si="15"/>
        <v>70</v>
      </c>
      <c r="DI5" s="130">
        <f t="shared" si="39"/>
        <v>270</v>
      </c>
      <c r="DJ5" s="130">
        <f t="shared" si="16"/>
        <v>0</v>
      </c>
      <c r="DK5" s="130">
        <f>CL5</f>
        <v>450</v>
      </c>
      <c r="DL5" s="129">
        <f t="shared" si="40"/>
        <v>1682</v>
      </c>
      <c r="DM5" s="200">
        <f t="shared" ref="DM5:DM33" si="42">DJ5+DK5+DL5</f>
        <v>2132</v>
      </c>
      <c r="DN5" s="64">
        <v>61</v>
      </c>
      <c r="DO5" s="120">
        <v>7087</v>
      </c>
      <c r="DP5" s="122">
        <f t="shared" si="17"/>
        <v>541</v>
      </c>
      <c r="DQ5" s="223"/>
      <c r="DR5" s="224" t="s">
        <v>161</v>
      </c>
    </row>
    <row r="6" spans="1:153" ht="15.6">
      <c r="A6" s="32">
        <f t="shared" si="18"/>
        <v>46177</v>
      </c>
      <c r="B6" s="34">
        <v>106</v>
      </c>
      <c r="C6" s="30">
        <v>0</v>
      </c>
      <c r="D6" s="4">
        <v>47</v>
      </c>
      <c r="E6" s="4">
        <v>8</v>
      </c>
      <c r="F6" s="4">
        <f t="shared" si="19"/>
        <v>161</v>
      </c>
      <c r="G6" s="4">
        <f t="shared" si="0"/>
        <v>3180</v>
      </c>
      <c r="H6" s="4">
        <f t="shared" si="1"/>
        <v>0</v>
      </c>
      <c r="I6" s="4">
        <f t="shared" si="2"/>
        <v>1410</v>
      </c>
      <c r="J6" s="4">
        <f t="shared" si="3"/>
        <v>240</v>
      </c>
      <c r="K6" s="30">
        <f t="shared" si="4"/>
        <v>4830</v>
      </c>
      <c r="L6" s="54">
        <f t="shared" si="5"/>
        <v>1789</v>
      </c>
      <c r="M6" s="150">
        <v>3</v>
      </c>
      <c r="N6" s="123">
        <v>20.2</v>
      </c>
      <c r="O6" s="123">
        <v>16</v>
      </c>
      <c r="P6" s="123">
        <v>130.72999999999999</v>
      </c>
      <c r="Q6" s="123">
        <v>19.75</v>
      </c>
      <c r="R6" s="123">
        <v>0</v>
      </c>
      <c r="S6" s="203">
        <v>6.2</v>
      </c>
      <c r="T6" s="203">
        <v>42</v>
      </c>
      <c r="U6" s="203"/>
      <c r="V6" s="203">
        <f t="shared" si="20"/>
        <v>42</v>
      </c>
      <c r="W6" s="203">
        <v>17.899999999999999</v>
      </c>
      <c r="X6" s="203">
        <v>552</v>
      </c>
      <c r="Y6" s="123">
        <f t="shared" si="21"/>
        <v>110.97999999999999</v>
      </c>
      <c r="Z6" s="144">
        <v>0</v>
      </c>
      <c r="AA6" s="144">
        <v>0</v>
      </c>
      <c r="AB6" s="144">
        <v>0</v>
      </c>
      <c r="AC6" s="144">
        <v>0</v>
      </c>
      <c r="AD6" s="144">
        <v>0</v>
      </c>
      <c r="AE6" s="144"/>
      <c r="AF6" s="123">
        <v>0</v>
      </c>
      <c r="AG6" s="123">
        <v>7.3</v>
      </c>
      <c r="AH6" s="123">
        <v>5</v>
      </c>
      <c r="AI6" s="123">
        <v>36</v>
      </c>
      <c r="AJ6" s="123">
        <f t="shared" si="22"/>
        <v>1044</v>
      </c>
      <c r="AK6" s="123">
        <v>210</v>
      </c>
      <c r="AL6" s="144">
        <v>2</v>
      </c>
      <c r="AM6" s="144">
        <v>9.1</v>
      </c>
      <c r="AN6" s="144">
        <v>35</v>
      </c>
      <c r="AO6" s="144">
        <v>183.8</v>
      </c>
      <c r="AP6" s="187">
        <v>130.19999999999999</v>
      </c>
      <c r="AQ6" s="187">
        <v>53.6</v>
      </c>
      <c r="AR6" s="187">
        <f t="shared" si="23"/>
        <v>0</v>
      </c>
      <c r="AS6" s="187">
        <v>435</v>
      </c>
      <c r="AT6" s="55">
        <v>2</v>
      </c>
      <c r="AU6" s="55">
        <v>358</v>
      </c>
      <c r="AV6" s="55">
        <v>0</v>
      </c>
      <c r="AW6" s="53">
        <v>0</v>
      </c>
      <c r="AX6" s="55">
        <v>23.6</v>
      </c>
      <c r="AY6" s="55">
        <v>8.94</v>
      </c>
      <c r="AZ6" s="55">
        <v>10</v>
      </c>
      <c r="BA6" s="55">
        <v>10</v>
      </c>
      <c r="BB6" s="84">
        <v>1300</v>
      </c>
      <c r="BC6" s="84">
        <v>700</v>
      </c>
      <c r="BD6" s="85">
        <f t="shared" si="24"/>
        <v>600</v>
      </c>
      <c r="BE6" s="100"/>
      <c r="BF6" s="100"/>
      <c r="BG6" s="100"/>
      <c r="BH6" s="100"/>
      <c r="BI6" s="100"/>
      <c r="BJ6" s="100"/>
      <c r="BK6" s="100"/>
      <c r="BL6" s="100"/>
      <c r="BM6" s="100"/>
      <c r="BN6" s="100">
        <f t="shared" si="25"/>
        <v>0</v>
      </c>
      <c r="BO6" s="126">
        <f t="shared" si="6"/>
        <v>8.94</v>
      </c>
      <c r="BP6" s="126">
        <f t="shared" si="7"/>
        <v>10</v>
      </c>
      <c r="BQ6" s="126">
        <f t="shared" si="8"/>
        <v>10</v>
      </c>
      <c r="BR6" s="126">
        <f t="shared" si="9"/>
        <v>1300</v>
      </c>
      <c r="BS6" s="126">
        <f t="shared" si="10"/>
        <v>23.6</v>
      </c>
      <c r="BT6" s="126">
        <f t="shared" si="26"/>
        <v>0</v>
      </c>
      <c r="BU6" s="126">
        <f t="shared" si="27"/>
        <v>358</v>
      </c>
      <c r="BV6" s="77">
        <v>9.1999999999999993</v>
      </c>
      <c r="BW6" s="77">
        <v>1500</v>
      </c>
      <c r="BX6" s="77">
        <v>1</v>
      </c>
      <c r="BY6" s="77">
        <v>8</v>
      </c>
      <c r="BZ6" s="77">
        <v>202</v>
      </c>
      <c r="CA6" s="77">
        <v>90</v>
      </c>
      <c r="CB6" s="77">
        <f t="shared" si="28"/>
        <v>292</v>
      </c>
      <c r="CC6" s="215">
        <v>1.6</v>
      </c>
      <c r="CD6" s="215">
        <v>450</v>
      </c>
      <c r="CE6" s="215">
        <v>1</v>
      </c>
      <c r="CF6" s="215">
        <v>10.5</v>
      </c>
      <c r="CG6" s="215">
        <v>250</v>
      </c>
      <c r="CH6" s="215">
        <v>30</v>
      </c>
      <c r="CI6" s="215">
        <f t="shared" si="29"/>
        <v>280</v>
      </c>
      <c r="CJ6" s="4">
        <f>2018-89</f>
        <v>1929</v>
      </c>
      <c r="CK6" s="4">
        <f>668-121</f>
        <v>547</v>
      </c>
      <c r="CL6" s="49">
        <f t="shared" si="30"/>
        <v>435</v>
      </c>
      <c r="CM6" s="4">
        <v>105</v>
      </c>
      <c r="CN6" s="4">
        <f t="shared" si="11"/>
        <v>0</v>
      </c>
      <c r="CO6" s="22">
        <f t="shared" si="12"/>
        <v>210</v>
      </c>
      <c r="CP6" s="4"/>
      <c r="CQ6" s="4">
        <v>282</v>
      </c>
      <c r="CR6" s="4">
        <v>200</v>
      </c>
      <c r="CS6" s="4">
        <f t="shared" si="31"/>
        <v>552</v>
      </c>
      <c r="CT6" s="4"/>
      <c r="CU6" s="226">
        <f t="shared" si="32"/>
        <v>4260</v>
      </c>
      <c r="CV6" s="4">
        <v>4200</v>
      </c>
      <c r="CW6" s="119">
        <f t="shared" si="41"/>
        <v>60</v>
      </c>
      <c r="CX6" s="118">
        <f t="shared" si="33"/>
        <v>4200</v>
      </c>
      <c r="CY6" s="118">
        <f t="shared" si="34"/>
        <v>4260</v>
      </c>
      <c r="CZ6" s="119">
        <f t="shared" si="35"/>
        <v>4260</v>
      </c>
      <c r="DA6" s="119"/>
      <c r="DB6" s="119">
        <f t="shared" si="36"/>
        <v>0</v>
      </c>
      <c r="DC6" s="81">
        <v>3812</v>
      </c>
      <c r="DD6" s="128">
        <f t="shared" si="37"/>
        <v>0</v>
      </c>
      <c r="DE6" s="129">
        <f t="shared" si="38"/>
        <v>210</v>
      </c>
      <c r="DF6" s="128">
        <f t="shared" si="13"/>
        <v>358</v>
      </c>
      <c r="DG6" s="130">
        <f t="shared" si="14"/>
        <v>0</v>
      </c>
      <c r="DH6" s="130">
        <f t="shared" si="15"/>
        <v>292</v>
      </c>
      <c r="DI6" s="130">
        <f t="shared" si="39"/>
        <v>280</v>
      </c>
      <c r="DJ6" s="130">
        <f t="shared" si="16"/>
        <v>552</v>
      </c>
      <c r="DK6" s="130">
        <f>CL6</f>
        <v>435</v>
      </c>
      <c r="DL6" s="129">
        <f t="shared" si="40"/>
        <v>1685</v>
      </c>
      <c r="DM6" s="200">
        <f t="shared" si="42"/>
        <v>2672</v>
      </c>
      <c r="DN6" s="63">
        <v>0</v>
      </c>
      <c r="DO6" s="120">
        <v>7615</v>
      </c>
      <c r="DP6" s="122">
        <f t="shared" si="17"/>
        <v>650</v>
      </c>
      <c r="DQ6" s="223"/>
    </row>
    <row r="7" spans="1:153" ht="15.6">
      <c r="A7" s="32">
        <f t="shared" si="18"/>
        <v>46178</v>
      </c>
      <c r="B7" s="34"/>
      <c r="C7" s="4">
        <v>63</v>
      </c>
      <c r="D7" s="12">
        <v>59</v>
      </c>
      <c r="E7" s="4">
        <v>3</v>
      </c>
      <c r="F7" s="4">
        <f t="shared" si="19"/>
        <v>125</v>
      </c>
      <c r="G7" s="4">
        <f t="shared" si="0"/>
        <v>0</v>
      </c>
      <c r="H7" s="4">
        <f t="shared" si="1"/>
        <v>1890</v>
      </c>
      <c r="I7" s="4">
        <f t="shared" si="2"/>
        <v>1770</v>
      </c>
      <c r="J7" s="4">
        <f t="shared" si="3"/>
        <v>90</v>
      </c>
      <c r="K7" s="30">
        <f t="shared" si="4"/>
        <v>3750</v>
      </c>
      <c r="L7" s="54">
        <f t="shared" si="5"/>
        <v>1389</v>
      </c>
      <c r="M7" s="150">
        <v>3</v>
      </c>
      <c r="N7" s="123">
        <v>14.6</v>
      </c>
      <c r="O7" s="123">
        <v>16</v>
      </c>
      <c r="P7" s="123">
        <v>107.97</v>
      </c>
      <c r="Q7" s="123">
        <v>2</v>
      </c>
      <c r="R7" s="123">
        <v>28.45</v>
      </c>
      <c r="S7" s="203">
        <v>3.2</v>
      </c>
      <c r="T7" s="203">
        <v>16</v>
      </c>
      <c r="U7" s="203"/>
      <c r="V7" s="203">
        <f t="shared" si="20"/>
        <v>16</v>
      </c>
      <c r="W7" s="203">
        <v>10.4</v>
      </c>
      <c r="X7" s="203">
        <v>350</v>
      </c>
      <c r="Y7" s="123">
        <f t="shared" si="21"/>
        <v>77.52</v>
      </c>
      <c r="Z7" s="144">
        <v>5.0999999999999996</v>
      </c>
      <c r="AA7" s="144">
        <v>7.2</v>
      </c>
      <c r="AB7" s="144">
        <v>7</v>
      </c>
      <c r="AC7" s="144">
        <v>65</v>
      </c>
      <c r="AD7" s="144">
        <v>2367.3200000000002</v>
      </c>
      <c r="AE7" s="144">
        <v>440</v>
      </c>
      <c r="AF7" s="123">
        <v>1</v>
      </c>
      <c r="AG7" s="123">
        <v>0</v>
      </c>
      <c r="AH7" s="123">
        <v>2</v>
      </c>
      <c r="AI7" s="123">
        <v>10</v>
      </c>
      <c r="AJ7" s="123">
        <f t="shared" si="22"/>
        <v>290</v>
      </c>
      <c r="AK7" s="123">
        <v>40</v>
      </c>
      <c r="AL7" s="144">
        <v>2</v>
      </c>
      <c r="AM7" s="144">
        <v>10</v>
      </c>
      <c r="AN7" s="144">
        <v>28</v>
      </c>
      <c r="AO7" s="144">
        <v>172.8</v>
      </c>
      <c r="AP7" s="187">
        <v>0</v>
      </c>
      <c r="AQ7" s="187">
        <v>172.8</v>
      </c>
      <c r="AR7" s="187">
        <f t="shared" si="23"/>
        <v>0</v>
      </c>
      <c r="AS7" s="187">
        <v>425</v>
      </c>
      <c r="AT7" s="55">
        <v>2</v>
      </c>
      <c r="AU7" s="55">
        <v>155</v>
      </c>
      <c r="AV7" s="55">
        <v>460</v>
      </c>
      <c r="AW7" s="53">
        <v>7.18</v>
      </c>
      <c r="AX7" s="55">
        <v>10.8</v>
      </c>
      <c r="AY7" s="55">
        <v>6.66</v>
      </c>
      <c r="AZ7" s="55">
        <v>6</v>
      </c>
      <c r="BA7" s="55">
        <v>7</v>
      </c>
      <c r="BB7" s="84">
        <v>1800</v>
      </c>
      <c r="BC7" s="84">
        <v>900</v>
      </c>
      <c r="BD7" s="85">
        <f t="shared" si="24"/>
        <v>900</v>
      </c>
      <c r="BE7" s="100"/>
      <c r="BF7" s="100"/>
      <c r="BG7" s="100"/>
      <c r="BH7" s="100"/>
      <c r="BI7" s="100"/>
      <c r="BJ7" s="100"/>
      <c r="BK7" s="100"/>
      <c r="BL7" s="100"/>
      <c r="BM7" s="100"/>
      <c r="BN7" s="100">
        <f t="shared" si="25"/>
        <v>0</v>
      </c>
      <c r="BO7" s="126">
        <f t="shared" si="6"/>
        <v>6.66</v>
      </c>
      <c r="BP7" s="126">
        <f t="shared" si="7"/>
        <v>6</v>
      </c>
      <c r="BQ7" s="126">
        <f t="shared" si="8"/>
        <v>7</v>
      </c>
      <c r="BR7" s="126">
        <f t="shared" si="9"/>
        <v>1800</v>
      </c>
      <c r="BS7" s="126">
        <f t="shared" si="10"/>
        <v>10.8</v>
      </c>
      <c r="BT7" s="126">
        <f t="shared" si="26"/>
        <v>460</v>
      </c>
      <c r="BU7" s="126">
        <f t="shared" si="27"/>
        <v>615</v>
      </c>
      <c r="BV7" s="77">
        <v>6.4</v>
      </c>
      <c r="BW7" s="77">
        <v>1000</v>
      </c>
      <c r="BX7" s="77">
        <v>1</v>
      </c>
      <c r="BY7" s="77">
        <v>12.8</v>
      </c>
      <c r="BZ7" s="77">
        <v>157</v>
      </c>
      <c r="CA7" s="77">
        <v>75</v>
      </c>
      <c r="CB7" s="77">
        <f t="shared" si="28"/>
        <v>232</v>
      </c>
      <c r="CC7" s="215">
        <v>4.0999999999999996</v>
      </c>
      <c r="CD7" s="215">
        <v>1200</v>
      </c>
      <c r="CE7" s="215">
        <v>1</v>
      </c>
      <c r="CF7" s="215">
        <v>8.1</v>
      </c>
      <c r="CG7" s="215">
        <v>120</v>
      </c>
      <c r="CH7" s="215">
        <v>85</v>
      </c>
      <c r="CI7" s="215">
        <f t="shared" si="29"/>
        <v>205</v>
      </c>
      <c r="CJ7" s="4">
        <f>1720-340</f>
        <v>1380</v>
      </c>
      <c r="CK7" s="22">
        <f>493-140</f>
        <v>353</v>
      </c>
      <c r="CL7" s="49">
        <f t="shared" si="30"/>
        <v>425</v>
      </c>
      <c r="CM7" s="4">
        <v>100</v>
      </c>
      <c r="CN7" s="4">
        <f t="shared" si="11"/>
        <v>440</v>
      </c>
      <c r="CO7" s="22">
        <f t="shared" si="12"/>
        <v>40</v>
      </c>
      <c r="CP7" s="4">
        <v>0</v>
      </c>
      <c r="CQ7" s="4">
        <v>195</v>
      </c>
      <c r="CR7" s="4">
        <v>250</v>
      </c>
      <c r="CS7" s="4">
        <f t="shared" si="31"/>
        <v>350</v>
      </c>
      <c r="CT7" s="4"/>
      <c r="CU7" s="226">
        <f t="shared" si="32"/>
        <v>3533</v>
      </c>
      <c r="CV7" s="4">
        <v>4500</v>
      </c>
      <c r="CW7" s="119">
        <f t="shared" si="41"/>
        <v>0</v>
      </c>
      <c r="CX7" s="118">
        <f t="shared" si="33"/>
        <v>4500</v>
      </c>
      <c r="CY7" s="118">
        <f t="shared" si="34"/>
        <v>4500</v>
      </c>
      <c r="CZ7" s="119">
        <f t="shared" si="35"/>
        <v>3533</v>
      </c>
      <c r="DA7" s="119"/>
      <c r="DB7" s="119">
        <f t="shared" si="36"/>
        <v>967</v>
      </c>
      <c r="DC7" s="81">
        <v>3382</v>
      </c>
      <c r="DD7" s="128">
        <f t="shared" si="37"/>
        <v>440</v>
      </c>
      <c r="DE7" s="129">
        <f t="shared" si="38"/>
        <v>40</v>
      </c>
      <c r="DF7" s="128">
        <f t="shared" si="13"/>
        <v>615</v>
      </c>
      <c r="DG7" s="130">
        <f t="shared" si="14"/>
        <v>0</v>
      </c>
      <c r="DH7" s="130">
        <f t="shared" si="15"/>
        <v>232</v>
      </c>
      <c r="DI7" s="130">
        <f t="shared" si="39"/>
        <v>205</v>
      </c>
      <c r="DJ7" s="130">
        <f t="shared" si="16"/>
        <v>350</v>
      </c>
      <c r="DK7" s="130">
        <f t="shared" ref="DK7:DK33" si="43">CL7</f>
        <v>425</v>
      </c>
      <c r="DL7" s="129">
        <f t="shared" si="40"/>
        <v>1075</v>
      </c>
      <c r="DM7" s="200">
        <f t="shared" si="42"/>
        <v>1850</v>
      </c>
      <c r="DN7" s="63">
        <v>968</v>
      </c>
      <c r="DO7" s="120">
        <v>7766</v>
      </c>
      <c r="DP7" s="122">
        <f t="shared" si="17"/>
        <v>847</v>
      </c>
      <c r="DQ7" s="223"/>
    </row>
    <row r="8" spans="1:153" ht="15.6">
      <c r="A8" s="32">
        <f t="shared" si="18"/>
        <v>46179</v>
      </c>
      <c r="B8" s="34">
        <v>55</v>
      </c>
      <c r="C8" s="4">
        <v>118</v>
      </c>
      <c r="D8" s="4"/>
      <c r="E8" s="4">
        <v>67</v>
      </c>
      <c r="F8" s="4">
        <f t="shared" si="19"/>
        <v>240</v>
      </c>
      <c r="G8" s="4">
        <f t="shared" si="0"/>
        <v>1650</v>
      </c>
      <c r="H8" s="4">
        <f t="shared" si="1"/>
        <v>3540</v>
      </c>
      <c r="I8" s="4">
        <f t="shared" si="2"/>
        <v>0</v>
      </c>
      <c r="J8" s="4">
        <f t="shared" si="3"/>
        <v>2010</v>
      </c>
      <c r="K8" s="30">
        <f t="shared" si="4"/>
        <v>7200</v>
      </c>
      <c r="L8" s="54">
        <f t="shared" si="5"/>
        <v>2667</v>
      </c>
      <c r="M8" s="150">
        <v>3</v>
      </c>
      <c r="N8" s="151">
        <v>22.4</v>
      </c>
      <c r="O8" s="152">
        <v>18</v>
      </c>
      <c r="P8" s="151">
        <v>117.5</v>
      </c>
      <c r="Q8" s="151">
        <v>8.9</v>
      </c>
      <c r="R8" s="151">
        <v>0</v>
      </c>
      <c r="S8" s="204">
        <v>6.2</v>
      </c>
      <c r="T8" s="204">
        <v>48</v>
      </c>
      <c r="U8" s="204"/>
      <c r="V8" s="204">
        <f t="shared" si="20"/>
        <v>48</v>
      </c>
      <c r="W8" s="204">
        <v>17.600000000000001</v>
      </c>
      <c r="X8" s="204">
        <v>350</v>
      </c>
      <c r="Y8" s="123">
        <f t="shared" si="21"/>
        <v>108.6</v>
      </c>
      <c r="Z8" s="144">
        <v>0</v>
      </c>
      <c r="AA8" s="144">
        <v>0</v>
      </c>
      <c r="AB8" s="144">
        <v>0</v>
      </c>
      <c r="AC8" s="144">
        <v>0</v>
      </c>
      <c r="AD8" s="144">
        <v>0</v>
      </c>
      <c r="AE8" s="144">
        <v>0</v>
      </c>
      <c r="AF8" s="123">
        <v>2</v>
      </c>
      <c r="AG8" s="123">
        <v>2.4</v>
      </c>
      <c r="AH8" s="123">
        <v>3</v>
      </c>
      <c r="AI8" s="123">
        <v>28</v>
      </c>
      <c r="AJ8" s="123">
        <f t="shared" si="22"/>
        <v>812</v>
      </c>
      <c r="AK8" s="123">
        <v>190</v>
      </c>
      <c r="AL8" s="144">
        <v>3</v>
      </c>
      <c r="AM8" s="144">
        <v>12.8</v>
      </c>
      <c r="AN8" s="144">
        <v>33</v>
      </c>
      <c r="AO8" s="144">
        <v>224.1</v>
      </c>
      <c r="AP8" s="187"/>
      <c r="AQ8" s="187">
        <v>224.1</v>
      </c>
      <c r="AR8" s="187">
        <f t="shared" si="23"/>
        <v>0</v>
      </c>
      <c r="AS8" s="187">
        <v>663</v>
      </c>
      <c r="AT8" s="55">
        <v>5</v>
      </c>
      <c r="AU8" s="55">
        <v>851</v>
      </c>
      <c r="AV8" s="55">
        <v>56</v>
      </c>
      <c r="AW8" s="53">
        <v>1.1299999999999999</v>
      </c>
      <c r="AX8" s="55">
        <v>46.6</v>
      </c>
      <c r="AY8" s="55">
        <v>9.59</v>
      </c>
      <c r="AZ8" s="55">
        <v>10</v>
      </c>
      <c r="BA8" s="55">
        <v>10</v>
      </c>
      <c r="BB8" s="84">
        <v>2000</v>
      </c>
      <c r="BC8" s="84">
        <v>1000</v>
      </c>
      <c r="BD8" s="85">
        <f t="shared" si="24"/>
        <v>1000</v>
      </c>
      <c r="BE8" s="100"/>
      <c r="BF8" s="100"/>
      <c r="BG8" s="100"/>
      <c r="BH8" s="100"/>
      <c r="BI8" s="100"/>
      <c r="BJ8" s="100"/>
      <c r="BK8" s="100"/>
      <c r="BL8" s="100"/>
      <c r="BM8" s="100"/>
      <c r="BN8" s="100">
        <f t="shared" si="25"/>
        <v>0</v>
      </c>
      <c r="BO8" s="126">
        <f t="shared" si="6"/>
        <v>9.59</v>
      </c>
      <c r="BP8" s="126">
        <f t="shared" si="7"/>
        <v>10</v>
      </c>
      <c r="BQ8" s="126">
        <f t="shared" si="8"/>
        <v>10</v>
      </c>
      <c r="BR8" s="126">
        <f t="shared" si="9"/>
        <v>2000</v>
      </c>
      <c r="BS8" s="126">
        <f t="shared" si="10"/>
        <v>46.6</v>
      </c>
      <c r="BT8" s="126">
        <f t="shared" si="26"/>
        <v>56</v>
      </c>
      <c r="BU8" s="126">
        <f t="shared" si="27"/>
        <v>907</v>
      </c>
      <c r="BV8" s="77">
        <v>9.8000000000000007</v>
      </c>
      <c r="BW8" s="77">
        <v>1500</v>
      </c>
      <c r="BX8" s="77">
        <v>1</v>
      </c>
      <c r="BY8" s="77">
        <v>10.1</v>
      </c>
      <c r="BZ8" s="77">
        <v>130</v>
      </c>
      <c r="CA8" s="77">
        <v>100</v>
      </c>
      <c r="CB8" s="77">
        <f t="shared" si="28"/>
        <v>230</v>
      </c>
      <c r="CC8" s="215">
        <v>0</v>
      </c>
      <c r="CD8" s="215">
        <v>0</v>
      </c>
      <c r="CE8" s="215">
        <v>1</v>
      </c>
      <c r="CF8" s="215">
        <v>7</v>
      </c>
      <c r="CG8" s="215">
        <v>175</v>
      </c>
      <c r="CH8" s="215">
        <v>0</v>
      </c>
      <c r="CI8" s="215">
        <f t="shared" si="29"/>
        <v>175</v>
      </c>
      <c r="CJ8" s="4">
        <f>1760-156</f>
        <v>1604</v>
      </c>
      <c r="CK8" s="4">
        <f>590-34</f>
        <v>556</v>
      </c>
      <c r="CL8" s="49">
        <f t="shared" si="30"/>
        <v>663</v>
      </c>
      <c r="CM8" s="4">
        <v>326</v>
      </c>
      <c r="CN8" s="4">
        <f t="shared" si="11"/>
        <v>0</v>
      </c>
      <c r="CO8" s="22">
        <f t="shared" si="12"/>
        <v>190</v>
      </c>
      <c r="CP8" s="4">
        <v>0</v>
      </c>
      <c r="CQ8" s="4">
        <v>0</v>
      </c>
      <c r="CR8" s="4">
        <v>0</v>
      </c>
      <c r="CS8" s="4">
        <f t="shared" si="31"/>
        <v>350</v>
      </c>
      <c r="CT8" s="4"/>
      <c r="CU8" s="226">
        <f t="shared" si="32"/>
        <v>3689</v>
      </c>
      <c r="CV8" s="4">
        <v>3000</v>
      </c>
      <c r="CW8" s="119">
        <f t="shared" si="41"/>
        <v>967</v>
      </c>
      <c r="CX8" s="118">
        <f t="shared" si="33"/>
        <v>3000</v>
      </c>
      <c r="CY8" s="118">
        <f t="shared" si="34"/>
        <v>3967</v>
      </c>
      <c r="CZ8" s="119">
        <f t="shared" si="35"/>
        <v>3689</v>
      </c>
      <c r="DA8" s="119"/>
      <c r="DB8" s="119">
        <f t="shared" si="36"/>
        <v>278</v>
      </c>
      <c r="DC8" s="81">
        <v>4377</v>
      </c>
      <c r="DD8" s="128">
        <f t="shared" si="37"/>
        <v>0</v>
      </c>
      <c r="DE8" s="129">
        <f t="shared" si="38"/>
        <v>190</v>
      </c>
      <c r="DF8" s="128">
        <f t="shared" si="13"/>
        <v>907</v>
      </c>
      <c r="DG8" s="130">
        <f t="shared" si="14"/>
        <v>0</v>
      </c>
      <c r="DH8" s="130">
        <f t="shared" si="15"/>
        <v>230</v>
      </c>
      <c r="DI8" s="130">
        <f t="shared" si="39"/>
        <v>175</v>
      </c>
      <c r="DJ8" s="130">
        <f t="shared" si="16"/>
        <v>350</v>
      </c>
      <c r="DK8" s="130">
        <f t="shared" si="43"/>
        <v>663</v>
      </c>
      <c r="DL8" s="129">
        <f t="shared" si="40"/>
        <v>1862</v>
      </c>
      <c r="DM8" s="200">
        <f t="shared" si="42"/>
        <v>2875</v>
      </c>
      <c r="DN8" s="63">
        <v>279</v>
      </c>
      <c r="DO8" s="120">
        <v>7078</v>
      </c>
      <c r="DP8" s="122">
        <f t="shared" si="17"/>
        <v>1137</v>
      </c>
      <c r="DQ8" s="223"/>
    </row>
    <row r="9" spans="1:153" ht="15.6">
      <c r="A9" s="32">
        <f t="shared" si="18"/>
        <v>46180</v>
      </c>
      <c r="B9" s="34"/>
      <c r="C9" s="4"/>
      <c r="D9" s="4"/>
      <c r="E9" s="4"/>
      <c r="F9" s="4">
        <f t="shared" si="19"/>
        <v>0</v>
      </c>
      <c r="G9" s="4">
        <f t="shared" si="0"/>
        <v>0</v>
      </c>
      <c r="H9" s="4">
        <f t="shared" si="1"/>
        <v>0</v>
      </c>
      <c r="I9" s="4">
        <f t="shared" si="2"/>
        <v>0</v>
      </c>
      <c r="J9" s="4">
        <f t="shared" si="3"/>
        <v>0</v>
      </c>
      <c r="K9" s="30">
        <f t="shared" si="4"/>
        <v>0</v>
      </c>
      <c r="L9" s="54">
        <f t="shared" si="5"/>
        <v>0</v>
      </c>
      <c r="M9" s="150"/>
      <c r="N9" s="123"/>
      <c r="O9" s="123"/>
      <c r="P9" s="123"/>
      <c r="Q9" s="123"/>
      <c r="R9" s="123"/>
      <c r="S9" s="203"/>
      <c r="T9" s="203"/>
      <c r="U9" s="203"/>
      <c r="V9" s="204">
        <f t="shared" si="20"/>
        <v>0</v>
      </c>
      <c r="W9" s="203"/>
      <c r="X9" s="203"/>
      <c r="Y9" s="123">
        <f t="shared" si="21"/>
        <v>0</v>
      </c>
      <c r="Z9" s="144"/>
      <c r="AA9" s="144"/>
      <c r="AB9" s="144"/>
      <c r="AC9" s="144"/>
      <c r="AD9" s="144"/>
      <c r="AE9" s="144"/>
      <c r="AF9" s="123"/>
      <c r="AG9" s="123"/>
      <c r="AH9" s="123"/>
      <c r="AI9" s="123"/>
      <c r="AJ9" s="123">
        <f t="shared" si="22"/>
        <v>0</v>
      </c>
      <c r="AK9" s="123"/>
      <c r="AL9" s="144"/>
      <c r="AM9" s="144"/>
      <c r="AN9" s="144"/>
      <c r="AO9" s="144"/>
      <c r="AP9" s="187"/>
      <c r="AQ9" s="187"/>
      <c r="AR9" s="187">
        <f t="shared" si="23"/>
        <v>0</v>
      </c>
      <c r="AS9" s="187"/>
      <c r="AT9" s="55"/>
      <c r="AU9" s="55"/>
      <c r="AV9" s="55"/>
      <c r="AW9" s="53"/>
      <c r="AX9" s="55"/>
      <c r="AY9" s="55"/>
      <c r="AZ9" s="55"/>
      <c r="BA9" s="55"/>
      <c r="BB9" s="84"/>
      <c r="BC9" s="84"/>
      <c r="BD9" s="85">
        <f t="shared" si="24"/>
        <v>0</v>
      </c>
      <c r="BE9" s="100"/>
      <c r="BF9" s="100"/>
      <c r="BG9" s="100"/>
      <c r="BH9" s="100"/>
      <c r="BI9" s="100"/>
      <c r="BJ9" s="100"/>
      <c r="BK9" s="100"/>
      <c r="BL9" s="100"/>
      <c r="BM9" s="100"/>
      <c r="BN9" s="100">
        <f t="shared" si="25"/>
        <v>0</v>
      </c>
      <c r="BO9" s="126">
        <f t="shared" si="6"/>
        <v>0</v>
      </c>
      <c r="BP9" s="126">
        <f t="shared" si="7"/>
        <v>0</v>
      </c>
      <c r="BQ9" s="126">
        <f t="shared" si="8"/>
        <v>0</v>
      </c>
      <c r="BR9" s="126">
        <f t="shared" si="9"/>
        <v>0</v>
      </c>
      <c r="BS9" s="126">
        <f t="shared" si="10"/>
        <v>0</v>
      </c>
      <c r="BT9" s="126">
        <f t="shared" si="26"/>
        <v>0</v>
      </c>
      <c r="BU9" s="126">
        <f t="shared" si="27"/>
        <v>0</v>
      </c>
      <c r="BV9" s="77"/>
      <c r="BW9" s="77"/>
      <c r="BX9" s="77"/>
      <c r="BY9" s="77"/>
      <c r="BZ9" s="77"/>
      <c r="CA9" s="77"/>
      <c r="CB9" s="77">
        <f t="shared" si="28"/>
        <v>0</v>
      </c>
      <c r="CC9" s="215"/>
      <c r="CD9" s="215"/>
      <c r="CE9" s="215"/>
      <c r="CF9" s="215"/>
      <c r="CG9" s="215"/>
      <c r="CH9" s="215"/>
      <c r="CI9" s="215">
        <f t="shared" si="29"/>
        <v>0</v>
      </c>
      <c r="CJ9" s="4"/>
      <c r="CK9" s="4"/>
      <c r="CL9" s="49">
        <f t="shared" si="30"/>
        <v>0</v>
      </c>
      <c r="CM9" s="4"/>
      <c r="CN9" s="4">
        <f t="shared" si="11"/>
        <v>0</v>
      </c>
      <c r="CO9" s="22">
        <f t="shared" si="12"/>
        <v>0</v>
      </c>
      <c r="CP9" s="4"/>
      <c r="CQ9" s="4"/>
      <c r="CR9" s="4"/>
      <c r="CS9" s="4">
        <f t="shared" si="31"/>
        <v>0</v>
      </c>
      <c r="CT9" s="4"/>
      <c r="CU9" s="226">
        <f t="shared" si="32"/>
        <v>0</v>
      </c>
      <c r="CV9" s="4"/>
      <c r="CW9" s="119">
        <f t="shared" si="41"/>
        <v>278</v>
      </c>
      <c r="CX9" s="118">
        <f t="shared" si="33"/>
        <v>0</v>
      </c>
      <c r="CY9" s="118">
        <f t="shared" si="34"/>
        <v>278</v>
      </c>
      <c r="CZ9" s="119">
        <f t="shared" si="35"/>
        <v>0</v>
      </c>
      <c r="DA9" s="119"/>
      <c r="DB9" s="119">
        <f t="shared" si="36"/>
        <v>278</v>
      </c>
      <c r="DC9" s="81"/>
      <c r="DD9" s="128">
        <f t="shared" si="37"/>
        <v>0</v>
      </c>
      <c r="DE9" s="129">
        <f t="shared" si="38"/>
        <v>0</v>
      </c>
      <c r="DF9" s="128">
        <f t="shared" si="13"/>
        <v>0</v>
      </c>
      <c r="DG9" s="130">
        <f t="shared" si="14"/>
        <v>0</v>
      </c>
      <c r="DH9" s="130">
        <f t="shared" si="15"/>
        <v>0</v>
      </c>
      <c r="DI9" s="130">
        <f t="shared" si="39"/>
        <v>0</v>
      </c>
      <c r="DJ9" s="130">
        <f t="shared" si="16"/>
        <v>0</v>
      </c>
      <c r="DK9" s="130">
        <f t="shared" si="43"/>
        <v>0</v>
      </c>
      <c r="DL9" s="129">
        <f t="shared" si="40"/>
        <v>0</v>
      </c>
      <c r="DM9" s="200">
        <f t="shared" si="42"/>
        <v>0</v>
      </c>
      <c r="DO9" s="120"/>
      <c r="DP9" s="122">
        <f t="shared" si="17"/>
        <v>0</v>
      </c>
      <c r="DQ9" s="223"/>
    </row>
    <row r="10" spans="1:153" ht="15.6">
      <c r="A10" s="32">
        <f t="shared" si="18"/>
        <v>46181</v>
      </c>
      <c r="B10" s="34">
        <v>8</v>
      </c>
      <c r="C10" s="4">
        <v>35</v>
      </c>
      <c r="D10" s="4">
        <v>76</v>
      </c>
      <c r="E10" s="4">
        <v>104</v>
      </c>
      <c r="F10" s="4">
        <f t="shared" si="19"/>
        <v>223</v>
      </c>
      <c r="G10" s="4">
        <f t="shared" si="0"/>
        <v>240</v>
      </c>
      <c r="H10" s="4">
        <f t="shared" si="1"/>
        <v>1050</v>
      </c>
      <c r="I10" s="4">
        <f t="shared" si="2"/>
        <v>2280</v>
      </c>
      <c r="J10" s="4">
        <f t="shared" si="3"/>
        <v>3120</v>
      </c>
      <c r="K10" s="30">
        <f t="shared" si="4"/>
        <v>6690</v>
      </c>
      <c r="L10" s="54">
        <f t="shared" si="5"/>
        <v>2478</v>
      </c>
      <c r="M10" s="150">
        <v>3</v>
      </c>
      <c r="N10" s="123">
        <v>21.7</v>
      </c>
      <c r="O10" s="123">
        <v>17</v>
      </c>
      <c r="P10" s="123">
        <v>130.30000000000001</v>
      </c>
      <c r="Q10" s="123">
        <v>0</v>
      </c>
      <c r="R10" s="123">
        <v>0</v>
      </c>
      <c r="S10" s="203">
        <v>6.4</v>
      </c>
      <c r="T10" s="203">
        <v>29</v>
      </c>
      <c r="U10" s="203">
        <v>0</v>
      </c>
      <c r="V10" s="204">
        <f t="shared" si="20"/>
        <v>29</v>
      </c>
      <c r="W10" s="203">
        <v>18.100000000000001</v>
      </c>
      <c r="X10" s="203">
        <v>380</v>
      </c>
      <c r="Y10" s="123">
        <f t="shared" si="21"/>
        <v>130.30000000000001</v>
      </c>
      <c r="Z10" s="144">
        <v>0</v>
      </c>
      <c r="AA10" s="144">
        <v>0</v>
      </c>
      <c r="AB10" s="144">
        <v>0</v>
      </c>
      <c r="AC10" s="144">
        <v>0</v>
      </c>
      <c r="AD10" s="144">
        <v>0</v>
      </c>
      <c r="AE10" s="144">
        <v>0</v>
      </c>
      <c r="AF10" s="123">
        <v>0</v>
      </c>
      <c r="AG10" s="123">
        <v>0</v>
      </c>
      <c r="AH10" s="123">
        <v>0</v>
      </c>
      <c r="AI10" s="123">
        <v>0</v>
      </c>
      <c r="AJ10" s="123">
        <f t="shared" si="22"/>
        <v>0</v>
      </c>
      <c r="AK10" s="123">
        <v>0</v>
      </c>
      <c r="AL10" s="144">
        <v>3</v>
      </c>
      <c r="AM10" s="144">
        <v>13.4</v>
      </c>
      <c r="AN10" s="144">
        <v>30</v>
      </c>
      <c r="AO10" s="144">
        <v>196.3</v>
      </c>
      <c r="AP10" s="187"/>
      <c r="AQ10" s="187">
        <v>196.3</v>
      </c>
      <c r="AR10" s="187">
        <f t="shared" si="23"/>
        <v>0</v>
      </c>
      <c r="AS10" s="187">
        <v>350</v>
      </c>
      <c r="AT10" s="55">
        <v>3</v>
      </c>
      <c r="AU10" s="55">
        <v>211</v>
      </c>
      <c r="AV10" s="55">
        <v>0</v>
      </c>
      <c r="AW10" s="53">
        <v>0</v>
      </c>
      <c r="AX10" s="55">
        <v>18.600000000000001</v>
      </c>
      <c r="AY10" s="55">
        <v>8.25</v>
      </c>
      <c r="AZ10" s="55">
        <v>9</v>
      </c>
      <c r="BA10" s="55">
        <v>10</v>
      </c>
      <c r="BB10" s="84">
        <v>1800</v>
      </c>
      <c r="BC10" s="84">
        <v>900</v>
      </c>
      <c r="BD10" s="85">
        <f t="shared" si="24"/>
        <v>900</v>
      </c>
      <c r="BE10" s="100"/>
      <c r="BF10" s="100"/>
      <c r="BG10" s="100"/>
      <c r="BH10" s="100"/>
      <c r="BI10" s="100"/>
      <c r="BJ10" s="100"/>
      <c r="BK10" s="100"/>
      <c r="BL10" s="100"/>
      <c r="BM10" s="100"/>
      <c r="BN10" s="100">
        <f t="shared" si="25"/>
        <v>0</v>
      </c>
      <c r="BO10" s="126">
        <f t="shared" si="6"/>
        <v>8.25</v>
      </c>
      <c r="BP10" s="126">
        <f t="shared" si="7"/>
        <v>9</v>
      </c>
      <c r="BQ10" s="126">
        <f t="shared" si="8"/>
        <v>10</v>
      </c>
      <c r="BR10" s="126">
        <f t="shared" si="9"/>
        <v>1800</v>
      </c>
      <c r="BS10" s="126">
        <f t="shared" si="10"/>
        <v>18.600000000000001</v>
      </c>
      <c r="BT10" s="126">
        <f t="shared" si="26"/>
        <v>0</v>
      </c>
      <c r="BU10" s="126">
        <f t="shared" si="27"/>
        <v>211</v>
      </c>
      <c r="BV10" s="77">
        <v>0</v>
      </c>
      <c r="BW10" s="77">
        <v>0</v>
      </c>
      <c r="BX10" s="77">
        <v>0</v>
      </c>
      <c r="BY10" s="77">
        <v>0</v>
      </c>
      <c r="BZ10" s="77">
        <v>0</v>
      </c>
      <c r="CA10" s="77">
        <v>0</v>
      </c>
      <c r="CB10" s="77">
        <f t="shared" si="28"/>
        <v>0</v>
      </c>
      <c r="CC10" s="215">
        <v>1.5</v>
      </c>
      <c r="CD10" s="215">
        <v>450</v>
      </c>
      <c r="CE10" s="215">
        <v>1</v>
      </c>
      <c r="CF10" s="215">
        <v>2.9</v>
      </c>
      <c r="CG10" s="215">
        <v>35</v>
      </c>
      <c r="CH10" s="215">
        <v>30</v>
      </c>
      <c r="CI10" s="215">
        <f t="shared" si="29"/>
        <v>65</v>
      </c>
      <c r="CJ10" s="4">
        <v>1881</v>
      </c>
      <c r="CK10" s="4">
        <v>421</v>
      </c>
      <c r="CL10" s="49">
        <f t="shared" si="30"/>
        <v>350</v>
      </c>
      <c r="CM10" s="4">
        <v>140</v>
      </c>
      <c r="CN10" s="4">
        <f t="shared" si="11"/>
        <v>0</v>
      </c>
      <c r="CO10" s="22">
        <f t="shared" si="12"/>
        <v>0</v>
      </c>
      <c r="CP10" s="4">
        <v>0</v>
      </c>
      <c r="CQ10" s="4">
        <v>0</v>
      </c>
      <c r="CR10" s="4">
        <v>0</v>
      </c>
      <c r="CS10" s="4">
        <f t="shared" si="31"/>
        <v>380</v>
      </c>
      <c r="CT10" s="4"/>
      <c r="CU10" s="226">
        <f t="shared" si="32"/>
        <v>3172</v>
      </c>
      <c r="CV10" s="4">
        <v>3500</v>
      </c>
      <c r="CW10" s="119">
        <f t="shared" si="41"/>
        <v>278</v>
      </c>
      <c r="CX10" s="118">
        <f t="shared" si="33"/>
        <v>3500</v>
      </c>
      <c r="CY10" s="118">
        <f t="shared" si="34"/>
        <v>3778</v>
      </c>
      <c r="CZ10" s="119">
        <f t="shared" si="35"/>
        <v>3172</v>
      </c>
      <c r="DA10" s="119"/>
      <c r="DB10" s="119">
        <f t="shared" si="36"/>
        <v>606</v>
      </c>
      <c r="DC10" s="81">
        <v>2619</v>
      </c>
      <c r="DD10" s="128">
        <f t="shared" si="37"/>
        <v>0</v>
      </c>
      <c r="DE10" s="129">
        <f t="shared" si="38"/>
        <v>0</v>
      </c>
      <c r="DF10" s="128">
        <f t="shared" si="13"/>
        <v>211</v>
      </c>
      <c r="DG10" s="130">
        <f t="shared" si="14"/>
        <v>0</v>
      </c>
      <c r="DH10" s="130">
        <f t="shared" si="15"/>
        <v>0</v>
      </c>
      <c r="DI10" s="130">
        <f t="shared" si="39"/>
        <v>65</v>
      </c>
      <c r="DJ10" s="130">
        <f t="shared" si="16"/>
        <v>380</v>
      </c>
      <c r="DK10" s="130">
        <f t="shared" si="43"/>
        <v>350</v>
      </c>
      <c r="DL10" s="129">
        <f t="shared" si="40"/>
        <v>1613</v>
      </c>
      <c r="DM10" s="200">
        <f t="shared" si="42"/>
        <v>2343</v>
      </c>
      <c r="DN10" s="63">
        <v>608</v>
      </c>
      <c r="DO10" s="120">
        <v>7631</v>
      </c>
      <c r="DP10" s="122">
        <f t="shared" si="17"/>
        <v>211</v>
      </c>
      <c r="DQ10" s="223"/>
    </row>
    <row r="11" spans="1:153" ht="15.6">
      <c r="A11" s="32">
        <f t="shared" si="18"/>
        <v>46182</v>
      </c>
      <c r="B11" s="34">
        <v>22</v>
      </c>
      <c r="C11" s="4">
        <v>48</v>
      </c>
      <c r="D11" s="4">
        <v>45</v>
      </c>
      <c r="E11" s="4">
        <v>38</v>
      </c>
      <c r="F11" s="4">
        <f t="shared" si="19"/>
        <v>153</v>
      </c>
      <c r="G11" s="4">
        <f t="shared" si="0"/>
        <v>660</v>
      </c>
      <c r="H11" s="4">
        <f t="shared" si="1"/>
        <v>1440</v>
      </c>
      <c r="I11" s="4">
        <f t="shared" si="2"/>
        <v>1350</v>
      </c>
      <c r="J11" s="4">
        <f t="shared" si="3"/>
        <v>1140</v>
      </c>
      <c r="K11" s="30">
        <f t="shared" si="4"/>
        <v>4590</v>
      </c>
      <c r="L11" s="54">
        <f t="shared" si="5"/>
        <v>1700</v>
      </c>
      <c r="M11" s="150">
        <v>3</v>
      </c>
      <c r="N11" s="123">
        <v>19</v>
      </c>
      <c r="O11" s="123">
        <v>17</v>
      </c>
      <c r="P11" s="123">
        <v>133.15</v>
      </c>
      <c r="Q11" s="123"/>
      <c r="R11" s="123">
        <v>32.35</v>
      </c>
      <c r="S11" s="203">
        <v>4.4000000000000004</v>
      </c>
      <c r="T11" s="203">
        <v>38</v>
      </c>
      <c r="U11" s="203"/>
      <c r="V11" s="204">
        <f t="shared" si="20"/>
        <v>38</v>
      </c>
      <c r="W11" s="203">
        <v>17.399999999999999</v>
      </c>
      <c r="X11" s="203">
        <v>400</v>
      </c>
      <c r="Y11" s="123">
        <f t="shared" si="21"/>
        <v>100.80000000000001</v>
      </c>
      <c r="Z11" s="144">
        <v>0</v>
      </c>
      <c r="AA11" s="144">
        <v>10.6</v>
      </c>
      <c r="AB11" s="144">
        <v>7</v>
      </c>
      <c r="AC11" s="144">
        <v>111</v>
      </c>
      <c r="AD11" s="144">
        <v>3570.18</v>
      </c>
      <c r="AE11" s="144">
        <v>300</v>
      </c>
      <c r="AF11" s="123"/>
      <c r="AG11" s="123"/>
      <c r="AH11" s="123"/>
      <c r="AI11" s="123"/>
      <c r="AJ11" s="123">
        <f t="shared" si="22"/>
        <v>0</v>
      </c>
      <c r="AK11" s="123"/>
      <c r="AL11" s="144">
        <v>3</v>
      </c>
      <c r="AM11" s="144">
        <v>12.4</v>
      </c>
      <c r="AN11" s="144">
        <v>41</v>
      </c>
      <c r="AO11" s="144">
        <v>189</v>
      </c>
      <c r="AP11" s="187"/>
      <c r="AQ11" s="187">
        <v>189</v>
      </c>
      <c r="AR11" s="187">
        <f t="shared" si="23"/>
        <v>0</v>
      </c>
      <c r="AS11" s="187">
        <v>834</v>
      </c>
      <c r="AT11" s="55">
        <v>2</v>
      </c>
      <c r="AU11" s="55">
        <v>156</v>
      </c>
      <c r="AV11" s="55">
        <v>52</v>
      </c>
      <c r="AW11" s="53">
        <v>1.91</v>
      </c>
      <c r="AX11" s="55">
        <v>17.8</v>
      </c>
      <c r="AY11" s="55">
        <v>5.7</v>
      </c>
      <c r="AZ11" s="55">
        <v>6</v>
      </c>
      <c r="BA11" s="55">
        <v>6</v>
      </c>
      <c r="BB11" s="84">
        <v>1200</v>
      </c>
      <c r="BC11" s="84">
        <v>600</v>
      </c>
      <c r="BD11" s="85">
        <f t="shared" si="24"/>
        <v>600</v>
      </c>
      <c r="BE11" s="100"/>
      <c r="BF11" s="100"/>
      <c r="BG11" s="100"/>
      <c r="BH11" s="100"/>
      <c r="BI11" s="100"/>
      <c r="BJ11" s="100"/>
      <c r="BK11" s="100"/>
      <c r="BL11" s="100"/>
      <c r="BM11" s="100"/>
      <c r="BN11" s="100">
        <f t="shared" si="25"/>
        <v>0</v>
      </c>
      <c r="BO11" s="126">
        <f t="shared" si="6"/>
        <v>5.7</v>
      </c>
      <c r="BP11" s="126">
        <f t="shared" si="7"/>
        <v>6</v>
      </c>
      <c r="BQ11" s="126">
        <f t="shared" si="8"/>
        <v>6</v>
      </c>
      <c r="BR11" s="126">
        <f t="shared" si="9"/>
        <v>1200</v>
      </c>
      <c r="BS11" s="126">
        <f t="shared" si="10"/>
        <v>17.8</v>
      </c>
      <c r="BT11" s="126">
        <f t="shared" si="26"/>
        <v>52</v>
      </c>
      <c r="BU11" s="126">
        <f t="shared" si="27"/>
        <v>208</v>
      </c>
      <c r="BV11" s="77">
        <v>0</v>
      </c>
      <c r="BW11" s="77">
        <v>0</v>
      </c>
      <c r="BX11" s="77">
        <v>0</v>
      </c>
      <c r="BY11" s="77">
        <v>0</v>
      </c>
      <c r="BZ11" s="77">
        <v>0</v>
      </c>
      <c r="CA11" s="77">
        <v>0</v>
      </c>
      <c r="CB11" s="77">
        <f t="shared" si="28"/>
        <v>0</v>
      </c>
      <c r="CC11" s="215">
        <v>2.6</v>
      </c>
      <c r="CD11" s="215">
        <v>750</v>
      </c>
      <c r="CE11" s="215">
        <v>0</v>
      </c>
      <c r="CF11" s="215">
        <v>0</v>
      </c>
      <c r="CG11" s="215">
        <v>0</v>
      </c>
      <c r="CH11" s="215">
        <v>47</v>
      </c>
      <c r="CI11" s="215">
        <f t="shared" si="29"/>
        <v>47</v>
      </c>
      <c r="CJ11" s="4">
        <f>1510-198</f>
        <v>1312</v>
      </c>
      <c r="CK11" s="4">
        <f>578-102</f>
        <v>476</v>
      </c>
      <c r="CL11" s="49">
        <f t="shared" si="30"/>
        <v>834</v>
      </c>
      <c r="CM11" s="4">
        <v>0</v>
      </c>
      <c r="CN11" s="4">
        <f t="shared" si="11"/>
        <v>300</v>
      </c>
      <c r="CO11" s="22">
        <f t="shared" si="12"/>
        <v>0</v>
      </c>
      <c r="CP11" s="4">
        <v>0</v>
      </c>
      <c r="CQ11" s="4">
        <v>0</v>
      </c>
      <c r="CR11" s="4">
        <v>372</v>
      </c>
      <c r="CS11" s="4">
        <f t="shared" si="31"/>
        <v>400</v>
      </c>
      <c r="CT11" s="4"/>
      <c r="CU11" s="226">
        <f t="shared" si="32"/>
        <v>3694</v>
      </c>
      <c r="CV11" s="37">
        <v>3500</v>
      </c>
      <c r="CW11" s="119">
        <f t="shared" si="41"/>
        <v>606</v>
      </c>
      <c r="CX11" s="118">
        <f t="shared" si="33"/>
        <v>3500</v>
      </c>
      <c r="CY11" s="118">
        <f t="shared" si="34"/>
        <v>4106</v>
      </c>
      <c r="CZ11" s="119">
        <f t="shared" si="35"/>
        <v>3694</v>
      </c>
      <c r="DA11" s="119"/>
      <c r="DB11" s="119">
        <f t="shared" si="36"/>
        <v>412</v>
      </c>
      <c r="DC11" s="81">
        <v>3143</v>
      </c>
      <c r="DD11" s="128">
        <f t="shared" si="37"/>
        <v>300</v>
      </c>
      <c r="DE11" s="129">
        <f t="shared" si="38"/>
        <v>0</v>
      </c>
      <c r="DF11" s="128">
        <f t="shared" si="13"/>
        <v>208</v>
      </c>
      <c r="DG11" s="130">
        <f t="shared" si="14"/>
        <v>0</v>
      </c>
      <c r="DH11" s="130">
        <f t="shared" si="15"/>
        <v>0</v>
      </c>
      <c r="DI11" s="130">
        <f t="shared" si="39"/>
        <v>47</v>
      </c>
      <c r="DJ11" s="130">
        <f t="shared" si="16"/>
        <v>400</v>
      </c>
      <c r="DK11" s="130">
        <f t="shared" si="43"/>
        <v>834</v>
      </c>
      <c r="DL11" s="129">
        <f t="shared" si="40"/>
        <v>1354</v>
      </c>
      <c r="DM11" s="200">
        <f t="shared" si="42"/>
        <v>2588</v>
      </c>
      <c r="DN11" s="63">
        <v>414</v>
      </c>
      <c r="DO11" s="120">
        <v>8182</v>
      </c>
      <c r="DP11" s="122">
        <f t="shared" si="17"/>
        <v>208</v>
      </c>
      <c r="DQ11" s="223"/>
    </row>
    <row r="12" spans="1:153" ht="15.6">
      <c r="A12" s="32">
        <f t="shared" si="18"/>
        <v>46183</v>
      </c>
      <c r="B12" s="34">
        <v>108</v>
      </c>
      <c r="C12" s="4"/>
      <c r="D12" s="4">
        <v>38</v>
      </c>
      <c r="E12" s="4">
        <v>15</v>
      </c>
      <c r="F12" s="4">
        <f t="shared" si="19"/>
        <v>161</v>
      </c>
      <c r="G12" s="4">
        <f t="shared" si="0"/>
        <v>3240</v>
      </c>
      <c r="H12" s="4">
        <f t="shared" si="1"/>
        <v>0</v>
      </c>
      <c r="I12" s="4">
        <f t="shared" si="2"/>
        <v>1140</v>
      </c>
      <c r="J12" s="4">
        <f t="shared" si="3"/>
        <v>450</v>
      </c>
      <c r="K12" s="30">
        <f t="shared" si="4"/>
        <v>4830</v>
      </c>
      <c r="L12" s="52">
        <f t="shared" si="5"/>
        <v>1789</v>
      </c>
      <c r="M12" s="150">
        <v>2</v>
      </c>
      <c r="N12" s="123">
        <v>16.8</v>
      </c>
      <c r="O12" s="123">
        <v>19</v>
      </c>
      <c r="P12" s="123">
        <v>148.4</v>
      </c>
      <c r="Q12" s="123">
        <v>8.1</v>
      </c>
      <c r="R12" s="123">
        <v>34.6</v>
      </c>
      <c r="S12" s="203">
        <v>6</v>
      </c>
      <c r="T12" s="203">
        <v>53</v>
      </c>
      <c r="U12" s="203"/>
      <c r="V12" s="204">
        <f t="shared" si="20"/>
        <v>53</v>
      </c>
      <c r="W12" s="203">
        <v>17.7</v>
      </c>
      <c r="X12" s="203">
        <v>400</v>
      </c>
      <c r="Y12" s="123">
        <f t="shared" si="21"/>
        <v>105.70000000000002</v>
      </c>
      <c r="Z12" s="144">
        <v>4.3</v>
      </c>
      <c r="AA12" s="144">
        <v>6.9</v>
      </c>
      <c r="AB12" s="144">
        <v>9</v>
      </c>
      <c r="AC12" s="144">
        <v>113</v>
      </c>
      <c r="AD12" s="144">
        <v>3692.33</v>
      </c>
      <c r="AE12" s="144">
        <v>500</v>
      </c>
      <c r="AF12" s="123">
        <v>0.8</v>
      </c>
      <c r="AG12" s="123">
        <v>1.9</v>
      </c>
      <c r="AH12" s="123">
        <v>4</v>
      </c>
      <c r="AI12" s="123">
        <v>24</v>
      </c>
      <c r="AJ12" s="123">
        <f t="shared" si="22"/>
        <v>696</v>
      </c>
      <c r="AK12" s="123">
        <v>120</v>
      </c>
      <c r="AL12" s="144">
        <v>3</v>
      </c>
      <c r="AM12" s="144">
        <v>11.1</v>
      </c>
      <c r="AN12" s="144">
        <v>44</v>
      </c>
      <c r="AO12" s="144">
        <v>119</v>
      </c>
      <c r="AP12" s="187"/>
      <c r="AQ12" s="187">
        <v>119</v>
      </c>
      <c r="AR12" s="187">
        <f t="shared" si="23"/>
        <v>0</v>
      </c>
      <c r="AS12" s="187">
        <v>333</v>
      </c>
      <c r="AT12" s="55">
        <v>2</v>
      </c>
      <c r="AU12" s="55">
        <v>220</v>
      </c>
      <c r="AV12" s="55">
        <v>0</v>
      </c>
      <c r="AW12" s="53">
        <v>0</v>
      </c>
      <c r="AX12" s="55">
        <v>10.9</v>
      </c>
      <c r="AY12" s="55">
        <v>7.59</v>
      </c>
      <c r="AZ12" s="55">
        <v>8</v>
      </c>
      <c r="BA12" s="55">
        <v>8</v>
      </c>
      <c r="BB12" s="84">
        <v>1200</v>
      </c>
      <c r="BC12" s="84">
        <v>600</v>
      </c>
      <c r="BD12" s="85">
        <f t="shared" si="24"/>
        <v>600</v>
      </c>
      <c r="BE12" s="100"/>
      <c r="BF12" s="100"/>
      <c r="BG12" s="100"/>
      <c r="BH12" s="100"/>
      <c r="BI12" s="100"/>
      <c r="BJ12" s="100"/>
      <c r="BK12" s="100"/>
      <c r="BL12" s="100"/>
      <c r="BM12" s="100"/>
      <c r="BN12" s="100">
        <f t="shared" si="25"/>
        <v>0</v>
      </c>
      <c r="BO12" s="126">
        <f t="shared" si="6"/>
        <v>7.59</v>
      </c>
      <c r="BP12" s="126">
        <f t="shared" si="7"/>
        <v>8</v>
      </c>
      <c r="BQ12" s="126">
        <f t="shared" si="8"/>
        <v>8</v>
      </c>
      <c r="BR12" s="126">
        <f t="shared" si="9"/>
        <v>1200</v>
      </c>
      <c r="BS12" s="126">
        <f t="shared" si="10"/>
        <v>10.9</v>
      </c>
      <c r="BT12" s="126">
        <f t="shared" si="26"/>
        <v>0</v>
      </c>
      <c r="BU12" s="126">
        <f t="shared" si="27"/>
        <v>220</v>
      </c>
      <c r="BV12" s="77">
        <v>4.4000000000000004</v>
      </c>
      <c r="BW12" s="77">
        <v>600</v>
      </c>
      <c r="BX12" s="77">
        <v>1</v>
      </c>
      <c r="BY12" s="77">
        <v>9</v>
      </c>
      <c r="BZ12" s="77">
        <v>108</v>
      </c>
      <c r="CA12" s="77">
        <v>45</v>
      </c>
      <c r="CB12" s="77">
        <f t="shared" si="28"/>
        <v>153</v>
      </c>
      <c r="CC12" s="215">
        <v>4.5999999999999996</v>
      </c>
      <c r="CD12" s="215">
        <v>1350</v>
      </c>
      <c r="CE12" s="215">
        <v>1</v>
      </c>
      <c r="CF12" s="215">
        <v>12.5</v>
      </c>
      <c r="CG12" s="215">
        <v>315</v>
      </c>
      <c r="CH12" s="215">
        <v>93</v>
      </c>
      <c r="CI12" s="215">
        <f t="shared" si="29"/>
        <v>408</v>
      </c>
      <c r="CJ12" s="4">
        <f>1820-450</f>
        <v>1370</v>
      </c>
      <c r="CK12" s="4">
        <f>558-170</f>
        <v>388</v>
      </c>
      <c r="CL12" s="49">
        <f t="shared" si="30"/>
        <v>333</v>
      </c>
      <c r="CM12" s="4">
        <v>232</v>
      </c>
      <c r="CN12" s="4">
        <f t="shared" si="11"/>
        <v>500</v>
      </c>
      <c r="CO12" s="22">
        <f t="shared" si="12"/>
        <v>120</v>
      </c>
      <c r="CP12" s="4"/>
      <c r="CQ12" s="4">
        <v>200</v>
      </c>
      <c r="CR12" s="4">
        <v>100</v>
      </c>
      <c r="CS12" s="4">
        <f t="shared" si="31"/>
        <v>400</v>
      </c>
      <c r="CT12" s="4"/>
      <c r="CU12" s="226">
        <f t="shared" si="32"/>
        <v>3643</v>
      </c>
      <c r="CV12" s="4">
        <v>3500</v>
      </c>
      <c r="CW12" s="119">
        <f t="shared" si="41"/>
        <v>412</v>
      </c>
      <c r="CX12" s="118">
        <f t="shared" si="33"/>
        <v>3500</v>
      </c>
      <c r="CY12" s="118">
        <f t="shared" si="34"/>
        <v>3912</v>
      </c>
      <c r="CZ12" s="119">
        <f t="shared" si="35"/>
        <v>3643</v>
      </c>
      <c r="DA12" s="119"/>
      <c r="DB12" s="119">
        <f t="shared" si="36"/>
        <v>269</v>
      </c>
      <c r="DC12" s="81">
        <v>3413</v>
      </c>
      <c r="DD12" s="128">
        <f t="shared" si="37"/>
        <v>500</v>
      </c>
      <c r="DE12" s="129">
        <f t="shared" si="38"/>
        <v>120</v>
      </c>
      <c r="DF12" s="128">
        <f t="shared" si="13"/>
        <v>220</v>
      </c>
      <c r="DG12" s="130">
        <f t="shared" si="14"/>
        <v>0</v>
      </c>
      <c r="DH12" s="130">
        <f t="shared" si="15"/>
        <v>153</v>
      </c>
      <c r="DI12" s="130">
        <f t="shared" si="39"/>
        <v>408</v>
      </c>
      <c r="DJ12" s="130">
        <f t="shared" si="16"/>
        <v>400</v>
      </c>
      <c r="DK12" s="130">
        <f t="shared" si="43"/>
        <v>333</v>
      </c>
      <c r="DL12" s="129">
        <f t="shared" si="40"/>
        <v>1279</v>
      </c>
      <c r="DM12" s="200">
        <f t="shared" si="42"/>
        <v>2012</v>
      </c>
      <c r="DN12" s="63">
        <v>271</v>
      </c>
      <c r="DO12" s="120">
        <v>7982</v>
      </c>
      <c r="DP12" s="122">
        <f t="shared" si="17"/>
        <v>373</v>
      </c>
      <c r="DQ12" s="223">
        <v>430</v>
      </c>
      <c r="DR12" s="230" t="s">
        <v>164</v>
      </c>
    </row>
    <row r="13" spans="1:153" ht="15.6">
      <c r="A13" s="32">
        <f t="shared" si="18"/>
        <v>46184</v>
      </c>
      <c r="B13" s="34">
        <v>83</v>
      </c>
      <c r="C13" s="4">
        <v>0</v>
      </c>
      <c r="D13" s="4">
        <v>8</v>
      </c>
      <c r="E13" s="4">
        <v>22</v>
      </c>
      <c r="F13" s="4">
        <f t="shared" si="19"/>
        <v>113</v>
      </c>
      <c r="G13" s="4">
        <f t="shared" si="0"/>
        <v>2490</v>
      </c>
      <c r="H13" s="4">
        <f t="shared" si="1"/>
        <v>0</v>
      </c>
      <c r="I13" s="4">
        <f t="shared" si="2"/>
        <v>240</v>
      </c>
      <c r="J13" s="4">
        <f t="shared" si="3"/>
        <v>660</v>
      </c>
      <c r="K13" s="30">
        <f t="shared" si="4"/>
        <v>3390</v>
      </c>
      <c r="L13" s="52">
        <f t="shared" si="5"/>
        <v>1256</v>
      </c>
      <c r="M13" s="150">
        <v>2</v>
      </c>
      <c r="N13" s="123">
        <v>12.5</v>
      </c>
      <c r="O13" s="123">
        <v>17</v>
      </c>
      <c r="P13" s="123">
        <v>148.30000000000001</v>
      </c>
      <c r="Q13" s="123">
        <v>9.9499999999999993</v>
      </c>
      <c r="R13" s="123">
        <v>43</v>
      </c>
      <c r="S13" s="203">
        <v>3.9</v>
      </c>
      <c r="T13" s="203">
        <v>30</v>
      </c>
      <c r="U13" s="203"/>
      <c r="V13" s="204">
        <f t="shared" si="20"/>
        <v>30</v>
      </c>
      <c r="W13" s="203">
        <v>17.7</v>
      </c>
      <c r="X13" s="203">
        <v>687</v>
      </c>
      <c r="Y13" s="123">
        <f t="shared" si="21"/>
        <v>95.350000000000023</v>
      </c>
      <c r="Z13" s="144">
        <v>4.3</v>
      </c>
      <c r="AA13" s="144">
        <v>10.4</v>
      </c>
      <c r="AB13" s="144">
        <v>8</v>
      </c>
      <c r="AC13" s="144">
        <v>98</v>
      </c>
      <c r="AD13" s="144">
        <v>3277.4399999999996</v>
      </c>
      <c r="AE13" s="144">
        <v>641</v>
      </c>
      <c r="AF13" s="123"/>
      <c r="AG13" s="123">
        <v>5.8</v>
      </c>
      <c r="AH13" s="123">
        <v>7</v>
      </c>
      <c r="AI13" s="123">
        <v>27</v>
      </c>
      <c r="AJ13" s="123">
        <f t="shared" si="22"/>
        <v>783</v>
      </c>
      <c r="AK13" s="123">
        <v>175</v>
      </c>
      <c r="AL13" s="144">
        <v>2</v>
      </c>
      <c r="AM13" s="144">
        <v>9.1</v>
      </c>
      <c r="AN13" s="144">
        <v>26</v>
      </c>
      <c r="AO13" s="144">
        <v>118.2</v>
      </c>
      <c r="AP13" s="187"/>
      <c r="AQ13" s="187">
        <v>118.2</v>
      </c>
      <c r="AR13" s="187">
        <f t="shared" si="23"/>
        <v>0</v>
      </c>
      <c r="AS13" s="187">
        <v>371</v>
      </c>
      <c r="AT13" s="55">
        <v>4</v>
      </c>
      <c r="AU13" s="55">
        <v>557</v>
      </c>
      <c r="AV13" s="55">
        <v>0</v>
      </c>
      <c r="AW13" s="53">
        <v>0</v>
      </c>
      <c r="AX13" s="55">
        <v>38.799999999999997</v>
      </c>
      <c r="AY13" s="55">
        <v>9.36</v>
      </c>
      <c r="AZ13" s="55">
        <v>10</v>
      </c>
      <c r="BA13" s="55">
        <v>10</v>
      </c>
      <c r="BB13" s="84">
        <v>1214</v>
      </c>
      <c r="BC13" s="84">
        <v>614</v>
      </c>
      <c r="BD13" s="85">
        <f t="shared" si="24"/>
        <v>600</v>
      </c>
      <c r="BE13" s="100"/>
      <c r="BF13" s="100"/>
      <c r="BG13" s="100"/>
      <c r="BH13" s="100"/>
      <c r="BI13" s="100"/>
      <c r="BJ13" s="100"/>
      <c r="BK13" s="100"/>
      <c r="BL13" s="100"/>
      <c r="BM13" s="100"/>
      <c r="BN13" s="100">
        <f t="shared" si="25"/>
        <v>0</v>
      </c>
      <c r="BO13" s="126">
        <f t="shared" si="6"/>
        <v>9.36</v>
      </c>
      <c r="BP13" s="126">
        <f t="shared" si="7"/>
        <v>10</v>
      </c>
      <c r="BQ13" s="126">
        <f t="shared" si="8"/>
        <v>10</v>
      </c>
      <c r="BR13" s="126">
        <f t="shared" si="9"/>
        <v>1214</v>
      </c>
      <c r="BS13" s="126">
        <f t="shared" si="10"/>
        <v>38.799999999999997</v>
      </c>
      <c r="BT13" s="126">
        <f t="shared" si="26"/>
        <v>0</v>
      </c>
      <c r="BU13" s="126">
        <f t="shared" si="27"/>
        <v>557</v>
      </c>
      <c r="BV13" s="77">
        <v>0</v>
      </c>
      <c r="BW13" s="77"/>
      <c r="BX13" s="77">
        <v>0</v>
      </c>
      <c r="BY13" s="77">
        <v>0</v>
      </c>
      <c r="BZ13" s="77"/>
      <c r="CA13" s="77">
        <v>0</v>
      </c>
      <c r="CB13" s="77">
        <f t="shared" si="28"/>
        <v>0</v>
      </c>
      <c r="CC13" s="215">
        <v>2.4</v>
      </c>
      <c r="CD13" s="215">
        <v>700</v>
      </c>
      <c r="CE13" s="215">
        <v>1</v>
      </c>
      <c r="CF13" s="215">
        <v>23</v>
      </c>
      <c r="CG13" s="215">
        <v>310</v>
      </c>
      <c r="CH13" s="215">
        <v>45</v>
      </c>
      <c r="CI13" s="215">
        <f t="shared" si="29"/>
        <v>355</v>
      </c>
      <c r="CJ13" s="4">
        <f>2789-652</f>
        <v>2137</v>
      </c>
      <c r="CK13" s="4">
        <f>501-164</f>
        <v>337</v>
      </c>
      <c r="CL13" s="49">
        <f t="shared" si="30"/>
        <v>371</v>
      </c>
      <c r="CM13" s="4">
        <v>240</v>
      </c>
      <c r="CN13" s="4">
        <f t="shared" si="11"/>
        <v>641</v>
      </c>
      <c r="CO13" s="22">
        <f t="shared" si="12"/>
        <v>175</v>
      </c>
      <c r="CP13" s="4">
        <v>100</v>
      </c>
      <c r="CQ13" s="4">
        <v>105</v>
      </c>
      <c r="CR13" s="4">
        <v>200</v>
      </c>
      <c r="CS13" s="4">
        <f t="shared" si="31"/>
        <v>687</v>
      </c>
      <c r="CT13" s="4"/>
      <c r="CU13" s="226">
        <f t="shared" si="32"/>
        <v>4993</v>
      </c>
      <c r="CV13" s="4">
        <v>5026</v>
      </c>
      <c r="CW13" s="119">
        <f t="shared" si="41"/>
        <v>269</v>
      </c>
      <c r="CX13" s="118">
        <f t="shared" si="33"/>
        <v>5026</v>
      </c>
      <c r="CY13" s="118">
        <f t="shared" si="34"/>
        <v>5295</v>
      </c>
      <c r="CZ13" s="119">
        <f t="shared" si="35"/>
        <v>4993</v>
      </c>
      <c r="DA13" s="119"/>
      <c r="DB13" s="119">
        <f t="shared" si="36"/>
        <v>302</v>
      </c>
      <c r="DC13" s="81">
        <v>3858</v>
      </c>
      <c r="DD13" s="128">
        <f t="shared" si="37"/>
        <v>641</v>
      </c>
      <c r="DE13" s="129">
        <f t="shared" si="38"/>
        <v>175</v>
      </c>
      <c r="DF13" s="128">
        <f t="shared" si="13"/>
        <v>557</v>
      </c>
      <c r="DG13" s="130">
        <f t="shared" si="14"/>
        <v>0</v>
      </c>
      <c r="DH13" s="130">
        <f t="shared" si="15"/>
        <v>0</v>
      </c>
      <c r="DI13" s="130">
        <f t="shared" si="39"/>
        <v>355</v>
      </c>
      <c r="DJ13" s="130">
        <f t="shared" si="16"/>
        <v>687</v>
      </c>
      <c r="DK13" s="130">
        <f t="shared" si="43"/>
        <v>371</v>
      </c>
      <c r="DL13" s="129">
        <f t="shared" si="40"/>
        <v>1072</v>
      </c>
      <c r="DM13" s="200">
        <f t="shared" si="42"/>
        <v>2130</v>
      </c>
      <c r="DN13" s="63">
        <v>304</v>
      </c>
      <c r="DO13" s="120">
        <v>9117</v>
      </c>
      <c r="DP13" s="122">
        <f t="shared" si="17"/>
        <v>557</v>
      </c>
      <c r="DQ13" s="223"/>
    </row>
    <row r="14" spans="1:153" ht="15.6">
      <c r="A14" s="32">
        <f t="shared" si="18"/>
        <v>46185</v>
      </c>
      <c r="B14" s="34">
        <v>31</v>
      </c>
      <c r="C14" s="4">
        <v>0</v>
      </c>
      <c r="D14" s="4">
        <v>17</v>
      </c>
      <c r="E14" s="4">
        <v>80</v>
      </c>
      <c r="F14" s="4">
        <f t="shared" si="19"/>
        <v>128</v>
      </c>
      <c r="G14" s="4">
        <f t="shared" si="0"/>
        <v>930</v>
      </c>
      <c r="H14" s="4">
        <f t="shared" si="1"/>
        <v>0</v>
      </c>
      <c r="I14" s="4">
        <f t="shared" si="2"/>
        <v>510</v>
      </c>
      <c r="J14" s="4">
        <f t="shared" si="3"/>
        <v>2400</v>
      </c>
      <c r="K14" s="30">
        <f t="shared" si="4"/>
        <v>3840</v>
      </c>
      <c r="L14" s="52">
        <f t="shared" si="5"/>
        <v>1423</v>
      </c>
      <c r="M14" s="150">
        <v>2</v>
      </c>
      <c r="N14" s="123">
        <v>14.8</v>
      </c>
      <c r="O14" s="123">
        <v>18</v>
      </c>
      <c r="P14" s="123">
        <v>131.69999999999999</v>
      </c>
      <c r="Q14" s="123">
        <v>0</v>
      </c>
      <c r="R14" s="123">
        <v>34.479999999999997</v>
      </c>
      <c r="S14" s="203">
        <v>5.0999999999999996</v>
      </c>
      <c r="T14" s="203">
        <v>7</v>
      </c>
      <c r="U14" s="203">
        <v>31</v>
      </c>
      <c r="V14" s="204">
        <f t="shared" si="20"/>
        <v>38</v>
      </c>
      <c r="W14" s="203">
        <v>18.8</v>
      </c>
      <c r="X14" s="203">
        <v>200</v>
      </c>
      <c r="Y14" s="123">
        <f t="shared" si="21"/>
        <v>97.22</v>
      </c>
      <c r="Z14" s="144">
        <v>5</v>
      </c>
      <c r="AA14" s="144">
        <v>13.9</v>
      </c>
      <c r="AB14" s="144">
        <v>6</v>
      </c>
      <c r="AC14" s="144">
        <v>126</v>
      </c>
      <c r="AD14" s="144">
        <v>4082.89</v>
      </c>
      <c r="AE14" s="144">
        <v>565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>
        <v>0</v>
      </c>
      <c r="AL14" s="144">
        <v>3</v>
      </c>
      <c r="AM14" s="144">
        <v>6.7</v>
      </c>
      <c r="AN14" s="144">
        <v>22</v>
      </c>
      <c r="AO14" s="144">
        <v>136</v>
      </c>
      <c r="AP14" s="187"/>
      <c r="AQ14" s="187">
        <v>136</v>
      </c>
      <c r="AR14" s="187">
        <f t="shared" si="23"/>
        <v>0</v>
      </c>
      <c r="AS14" s="187">
        <v>494</v>
      </c>
      <c r="AT14" s="55">
        <v>4</v>
      </c>
      <c r="AU14" s="55">
        <v>282</v>
      </c>
      <c r="AV14" s="55">
        <v>0</v>
      </c>
      <c r="AW14" s="53">
        <v>0</v>
      </c>
      <c r="AX14" s="55">
        <v>14</v>
      </c>
      <c r="AY14" s="55">
        <v>9.3800000000000008</v>
      </c>
      <c r="AZ14" s="55">
        <v>10</v>
      </c>
      <c r="BA14" s="55">
        <v>10</v>
      </c>
      <c r="BB14" s="84">
        <v>1500</v>
      </c>
      <c r="BC14" s="84">
        <v>800</v>
      </c>
      <c r="BD14" s="85">
        <f t="shared" si="24"/>
        <v>700</v>
      </c>
      <c r="BE14" s="100"/>
      <c r="BF14" s="100"/>
      <c r="BG14" s="100"/>
      <c r="BH14" s="100"/>
      <c r="BI14" s="100"/>
      <c r="BJ14" s="100"/>
      <c r="BK14" s="100"/>
      <c r="BL14" s="100"/>
      <c r="BM14" s="100"/>
      <c r="BN14" s="100">
        <f t="shared" si="25"/>
        <v>0</v>
      </c>
      <c r="BO14" s="126">
        <f t="shared" si="6"/>
        <v>9.3800000000000008</v>
      </c>
      <c r="BP14" s="126">
        <f t="shared" si="7"/>
        <v>10</v>
      </c>
      <c r="BQ14" s="126">
        <f t="shared" si="8"/>
        <v>10</v>
      </c>
      <c r="BR14" s="126">
        <f t="shared" si="9"/>
        <v>1500</v>
      </c>
      <c r="BS14" s="126">
        <f t="shared" si="10"/>
        <v>14</v>
      </c>
      <c r="BT14" s="126">
        <f t="shared" si="26"/>
        <v>0</v>
      </c>
      <c r="BU14" s="126">
        <f t="shared" si="27"/>
        <v>282</v>
      </c>
      <c r="BV14" s="77">
        <v>6</v>
      </c>
      <c r="BW14" s="77">
        <v>700</v>
      </c>
      <c r="BX14" s="77">
        <v>1</v>
      </c>
      <c r="BY14" s="77">
        <v>6.5</v>
      </c>
      <c r="BZ14" s="77">
        <v>77</v>
      </c>
      <c r="CA14" s="77">
        <v>70</v>
      </c>
      <c r="CB14" s="77">
        <f t="shared" si="28"/>
        <v>147</v>
      </c>
      <c r="CC14" s="215">
        <v>5.0999999999999996</v>
      </c>
      <c r="CD14" s="215">
        <v>1500</v>
      </c>
      <c r="CE14" s="215">
        <v>1</v>
      </c>
      <c r="CF14" s="215">
        <v>5.5</v>
      </c>
      <c r="CG14" s="215">
        <v>150</v>
      </c>
      <c r="CH14" s="215">
        <v>100</v>
      </c>
      <c r="CI14" s="215">
        <f t="shared" si="29"/>
        <v>250</v>
      </c>
      <c r="CJ14" s="4">
        <f>1804-315</f>
        <v>1489</v>
      </c>
      <c r="CK14" s="4">
        <f>562-250</f>
        <v>312</v>
      </c>
      <c r="CL14" s="49">
        <f t="shared" si="30"/>
        <v>494</v>
      </c>
      <c r="CM14" s="4">
        <v>180</v>
      </c>
      <c r="CN14" s="4">
        <f t="shared" si="11"/>
        <v>565</v>
      </c>
      <c r="CO14" s="22">
        <f t="shared" si="12"/>
        <v>0</v>
      </c>
      <c r="CP14" s="4"/>
      <c r="CQ14" s="4">
        <v>100</v>
      </c>
      <c r="CR14" s="4">
        <v>350</v>
      </c>
      <c r="CS14" s="4">
        <f t="shared" si="31"/>
        <v>200</v>
      </c>
      <c r="CT14" s="4"/>
      <c r="CU14" s="226">
        <f t="shared" si="32"/>
        <v>3690</v>
      </c>
      <c r="CV14" s="4">
        <v>3754</v>
      </c>
      <c r="CW14" s="119">
        <f t="shared" si="41"/>
        <v>302</v>
      </c>
      <c r="CX14" s="118">
        <f t="shared" si="33"/>
        <v>3754</v>
      </c>
      <c r="CY14" s="118">
        <f t="shared" si="34"/>
        <v>4056</v>
      </c>
      <c r="CZ14" s="119">
        <f t="shared" si="35"/>
        <v>3690</v>
      </c>
      <c r="DA14" s="119"/>
      <c r="DB14" s="119">
        <f t="shared" si="36"/>
        <v>366</v>
      </c>
      <c r="DC14" s="81">
        <v>3053</v>
      </c>
      <c r="DD14" s="128">
        <f t="shared" si="37"/>
        <v>565</v>
      </c>
      <c r="DE14" s="129">
        <f t="shared" si="38"/>
        <v>0</v>
      </c>
      <c r="DF14" s="128">
        <f t="shared" si="13"/>
        <v>282</v>
      </c>
      <c r="DG14" s="130">
        <f t="shared" si="14"/>
        <v>0</v>
      </c>
      <c r="DH14" s="130">
        <f t="shared" si="15"/>
        <v>147</v>
      </c>
      <c r="DI14" s="130">
        <f t="shared" si="39"/>
        <v>250</v>
      </c>
      <c r="DJ14" s="130">
        <f t="shared" si="16"/>
        <v>200</v>
      </c>
      <c r="DK14" s="130">
        <f t="shared" si="43"/>
        <v>494</v>
      </c>
      <c r="DL14" s="129">
        <f t="shared" si="40"/>
        <v>1115</v>
      </c>
      <c r="DM14" s="200">
        <f t="shared" si="42"/>
        <v>1809</v>
      </c>
      <c r="DN14" s="197">
        <v>368</v>
      </c>
      <c r="DO14" s="120">
        <v>9753</v>
      </c>
      <c r="DP14" s="122">
        <f t="shared" si="17"/>
        <v>429</v>
      </c>
      <c r="DQ14" s="223"/>
    </row>
    <row r="15" spans="1:153" ht="15.6">
      <c r="A15" s="33">
        <f t="shared" si="18"/>
        <v>46186</v>
      </c>
      <c r="B15" s="35">
        <v>22</v>
      </c>
      <c r="C15" s="23">
        <v>17</v>
      </c>
      <c r="D15" s="23">
        <v>2</v>
      </c>
      <c r="E15" s="23">
        <v>90</v>
      </c>
      <c r="F15" s="4">
        <f t="shared" si="19"/>
        <v>131</v>
      </c>
      <c r="G15" s="23">
        <f t="shared" si="0"/>
        <v>660</v>
      </c>
      <c r="H15" s="23">
        <f t="shared" si="1"/>
        <v>510</v>
      </c>
      <c r="I15" s="23">
        <f t="shared" si="2"/>
        <v>60</v>
      </c>
      <c r="J15" s="23">
        <f t="shared" si="3"/>
        <v>2700</v>
      </c>
      <c r="K15" s="24">
        <f t="shared" si="4"/>
        <v>3930</v>
      </c>
      <c r="L15" s="52">
        <f t="shared" si="5"/>
        <v>1456</v>
      </c>
      <c r="M15" s="153">
        <v>2</v>
      </c>
      <c r="N15" s="123">
        <v>15.9</v>
      </c>
      <c r="O15" s="123">
        <v>18</v>
      </c>
      <c r="P15" s="123">
        <v>133.6</v>
      </c>
      <c r="Q15" s="123">
        <v>1.4</v>
      </c>
      <c r="R15" s="123">
        <v>36.200000000000003</v>
      </c>
      <c r="S15" s="203">
        <v>5.6</v>
      </c>
      <c r="T15" s="203">
        <v>2</v>
      </c>
      <c r="U15" s="203">
        <v>20</v>
      </c>
      <c r="V15" s="204">
        <f t="shared" si="20"/>
        <v>22</v>
      </c>
      <c r="W15" s="203">
        <v>11.8</v>
      </c>
      <c r="X15" s="203">
        <v>200</v>
      </c>
      <c r="Y15" s="123">
        <f t="shared" si="21"/>
        <v>95.999999999999986</v>
      </c>
      <c r="Z15" s="144">
        <v>3</v>
      </c>
      <c r="AA15" s="144">
        <v>8.1999999999999993</v>
      </c>
      <c r="AB15" s="144">
        <v>6</v>
      </c>
      <c r="AC15" s="144">
        <v>99</v>
      </c>
      <c r="AD15" s="144">
        <v>3192.96</v>
      </c>
      <c r="AE15" s="144">
        <v>470</v>
      </c>
      <c r="AF15" s="123">
        <v>0</v>
      </c>
      <c r="AG15" s="123">
        <v>1.4</v>
      </c>
      <c r="AH15" s="123">
        <v>6</v>
      </c>
      <c r="AI15" s="123">
        <v>8</v>
      </c>
      <c r="AJ15" s="123">
        <f t="shared" si="22"/>
        <v>232</v>
      </c>
      <c r="AK15" s="123">
        <v>35</v>
      </c>
      <c r="AL15" s="144">
        <v>3</v>
      </c>
      <c r="AM15" s="144">
        <v>11.9</v>
      </c>
      <c r="AN15" s="144">
        <v>50</v>
      </c>
      <c r="AO15" s="144">
        <v>197</v>
      </c>
      <c r="AP15" s="187">
        <v>0</v>
      </c>
      <c r="AQ15" s="187">
        <v>197</v>
      </c>
      <c r="AR15" s="187">
        <f t="shared" si="23"/>
        <v>0</v>
      </c>
      <c r="AS15" s="189">
        <v>263</v>
      </c>
      <c r="AT15" s="86">
        <v>2</v>
      </c>
      <c r="AU15" s="86">
        <v>196</v>
      </c>
      <c r="AV15" s="86">
        <v>0</v>
      </c>
      <c r="AW15" s="87">
        <v>0</v>
      </c>
      <c r="AX15" s="86">
        <v>25</v>
      </c>
      <c r="AY15" s="86">
        <v>5</v>
      </c>
      <c r="AZ15" s="86">
        <v>5</v>
      </c>
      <c r="BA15" s="86">
        <v>6</v>
      </c>
      <c r="BB15" s="88">
        <v>800</v>
      </c>
      <c r="BC15" s="84">
        <v>400</v>
      </c>
      <c r="BD15" s="85">
        <f t="shared" si="24"/>
        <v>400</v>
      </c>
      <c r="BE15" s="100"/>
      <c r="BF15" s="100"/>
      <c r="BG15" s="100"/>
      <c r="BH15" s="100"/>
      <c r="BI15" s="100"/>
      <c r="BJ15" s="101"/>
      <c r="BK15" s="101"/>
      <c r="BL15" s="101"/>
      <c r="BM15" s="101"/>
      <c r="BN15" s="100">
        <f t="shared" si="25"/>
        <v>0</v>
      </c>
      <c r="BO15" s="126">
        <f t="shared" si="6"/>
        <v>5</v>
      </c>
      <c r="BP15" s="126">
        <f t="shared" si="7"/>
        <v>5</v>
      </c>
      <c r="BQ15" s="126">
        <f t="shared" si="8"/>
        <v>6</v>
      </c>
      <c r="BR15" s="126">
        <f t="shared" si="9"/>
        <v>800</v>
      </c>
      <c r="BS15" s="126">
        <f t="shared" si="10"/>
        <v>25</v>
      </c>
      <c r="BT15" s="126">
        <f t="shared" si="26"/>
        <v>0</v>
      </c>
      <c r="BU15" s="126">
        <f t="shared" si="27"/>
        <v>196</v>
      </c>
      <c r="BV15" s="116">
        <v>8</v>
      </c>
      <c r="BW15" s="116">
        <v>1000</v>
      </c>
      <c r="BX15" s="77">
        <v>1</v>
      </c>
      <c r="BY15" s="77">
        <v>10</v>
      </c>
      <c r="BZ15" s="77">
        <v>200</v>
      </c>
      <c r="CA15" s="77">
        <v>80</v>
      </c>
      <c r="CB15" s="77">
        <f t="shared" si="28"/>
        <v>280</v>
      </c>
      <c r="CC15" s="216">
        <v>2.4</v>
      </c>
      <c r="CD15" s="216">
        <v>700</v>
      </c>
      <c r="CE15" s="216">
        <v>0</v>
      </c>
      <c r="CF15" s="216">
        <v>0</v>
      </c>
      <c r="CG15" s="216">
        <v>0</v>
      </c>
      <c r="CH15" s="216">
        <v>45</v>
      </c>
      <c r="CI15" s="215">
        <f t="shared" si="29"/>
        <v>45</v>
      </c>
      <c r="CJ15" s="23">
        <f>580-341</f>
        <v>239</v>
      </c>
      <c r="CK15" s="23">
        <f>713-164</f>
        <v>549</v>
      </c>
      <c r="CL15" s="49">
        <f t="shared" si="30"/>
        <v>263</v>
      </c>
      <c r="CM15" s="23">
        <v>25</v>
      </c>
      <c r="CN15" s="4">
        <f t="shared" si="11"/>
        <v>470</v>
      </c>
      <c r="CO15" s="22">
        <f t="shared" si="12"/>
        <v>35</v>
      </c>
      <c r="CP15" s="23">
        <v>0</v>
      </c>
      <c r="CQ15" s="23">
        <v>300</v>
      </c>
      <c r="CR15" s="23"/>
      <c r="CS15" s="4">
        <f t="shared" si="31"/>
        <v>200</v>
      </c>
      <c r="CT15" s="4"/>
      <c r="CU15" s="226">
        <f t="shared" si="32"/>
        <v>2081</v>
      </c>
      <c r="CV15" s="23">
        <v>3000</v>
      </c>
      <c r="CW15" s="119">
        <f t="shared" si="41"/>
        <v>366</v>
      </c>
      <c r="CX15" s="118">
        <f t="shared" si="33"/>
        <v>3000</v>
      </c>
      <c r="CY15" s="118">
        <f t="shared" si="34"/>
        <v>3366</v>
      </c>
      <c r="CZ15" s="119">
        <f t="shared" si="35"/>
        <v>2081</v>
      </c>
      <c r="DA15" s="119"/>
      <c r="DB15" s="119">
        <f t="shared" si="36"/>
        <v>1285</v>
      </c>
      <c r="DC15" s="81">
        <v>2980</v>
      </c>
      <c r="DD15" s="128">
        <f t="shared" si="37"/>
        <v>470</v>
      </c>
      <c r="DE15" s="129">
        <f t="shared" si="38"/>
        <v>35</v>
      </c>
      <c r="DF15" s="128">
        <f t="shared" si="13"/>
        <v>196</v>
      </c>
      <c r="DG15" s="130">
        <f t="shared" si="14"/>
        <v>0</v>
      </c>
      <c r="DH15" s="130">
        <f t="shared" si="15"/>
        <v>280</v>
      </c>
      <c r="DI15" s="130">
        <f t="shared" si="39"/>
        <v>45</v>
      </c>
      <c r="DJ15" s="130">
        <f t="shared" ref="DJ15:DJ33" si="44">X15</f>
        <v>200</v>
      </c>
      <c r="DK15" s="130">
        <f t="shared" si="43"/>
        <v>263</v>
      </c>
      <c r="DL15" s="129">
        <f t="shared" si="40"/>
        <v>1491</v>
      </c>
      <c r="DM15" s="200">
        <f t="shared" si="42"/>
        <v>1954</v>
      </c>
      <c r="DN15" s="63">
        <v>1287</v>
      </c>
      <c r="DO15" s="120"/>
      <c r="DP15" s="122">
        <f t="shared" si="17"/>
        <v>476</v>
      </c>
      <c r="DQ15" s="223"/>
    </row>
    <row r="16" spans="1:153" s="39" customFormat="1" ht="15.6">
      <c r="A16" s="32">
        <f t="shared" si="18"/>
        <v>46187</v>
      </c>
      <c r="B16" s="4"/>
      <c r="C16" s="4"/>
      <c r="D16" s="4"/>
      <c r="E16" s="4"/>
      <c r="F16" s="4">
        <f t="shared" si="19"/>
        <v>0</v>
      </c>
      <c r="G16" s="4">
        <f t="shared" si="0"/>
        <v>0</v>
      </c>
      <c r="H16" s="4">
        <f t="shared" si="1"/>
        <v>0</v>
      </c>
      <c r="I16" s="4">
        <f t="shared" si="2"/>
        <v>0</v>
      </c>
      <c r="J16" s="4">
        <f t="shared" si="3"/>
        <v>0</v>
      </c>
      <c r="K16" s="30">
        <f t="shared" si="4"/>
        <v>0</v>
      </c>
      <c r="L16" s="52">
        <f t="shared" si="5"/>
        <v>0</v>
      </c>
      <c r="M16" s="150"/>
      <c r="N16" s="123"/>
      <c r="O16" s="123"/>
      <c r="P16" s="123"/>
      <c r="Q16" s="123"/>
      <c r="R16" s="123"/>
      <c r="S16" s="203"/>
      <c r="T16" s="203"/>
      <c r="U16" s="203"/>
      <c r="V16" s="204">
        <f t="shared" si="20"/>
        <v>0</v>
      </c>
      <c r="W16" s="203"/>
      <c r="X16" s="203"/>
      <c r="Y16" s="123">
        <f t="shared" si="21"/>
        <v>0</v>
      </c>
      <c r="Z16" s="144"/>
      <c r="AA16" s="144"/>
      <c r="AB16" s="144"/>
      <c r="AC16" s="144"/>
      <c r="AD16" s="144"/>
      <c r="AE16" s="144"/>
      <c r="AF16" s="123"/>
      <c r="AG16" s="123"/>
      <c r="AH16" s="123"/>
      <c r="AI16" s="123"/>
      <c r="AJ16" s="123">
        <f t="shared" si="22"/>
        <v>0</v>
      </c>
      <c r="AK16" s="123"/>
      <c r="AL16" s="144"/>
      <c r="AM16" s="144"/>
      <c r="AN16" s="144"/>
      <c r="AO16" s="144"/>
      <c r="AP16" s="187"/>
      <c r="AQ16" s="187"/>
      <c r="AR16" s="187">
        <f t="shared" si="23"/>
        <v>0</v>
      </c>
      <c r="AS16" s="187"/>
      <c r="AT16" s="55"/>
      <c r="AU16" s="55"/>
      <c r="AV16" s="55"/>
      <c r="AW16" s="53"/>
      <c r="AX16" s="55"/>
      <c r="AY16" s="55"/>
      <c r="AZ16" s="55"/>
      <c r="BA16" s="55"/>
      <c r="BB16" s="84"/>
      <c r="BC16" s="84"/>
      <c r="BD16" s="85">
        <f t="shared" si="24"/>
        <v>0</v>
      </c>
      <c r="BE16" s="100"/>
      <c r="BF16" s="100"/>
      <c r="BG16" s="100"/>
      <c r="BH16" s="100"/>
      <c r="BI16" s="100"/>
      <c r="BJ16" s="100"/>
      <c r="BK16" s="100"/>
      <c r="BL16" s="100"/>
      <c r="BM16" s="100"/>
      <c r="BN16" s="100">
        <f t="shared" si="25"/>
        <v>0</v>
      </c>
      <c r="BO16" s="126">
        <f t="shared" si="6"/>
        <v>0</v>
      </c>
      <c r="BP16" s="126">
        <f t="shared" si="7"/>
        <v>0</v>
      </c>
      <c r="BQ16" s="126">
        <f t="shared" si="8"/>
        <v>0</v>
      </c>
      <c r="BR16" s="126">
        <f t="shared" si="9"/>
        <v>0</v>
      </c>
      <c r="BS16" s="126">
        <f t="shared" si="10"/>
        <v>0</v>
      </c>
      <c r="BT16" s="126">
        <f t="shared" si="26"/>
        <v>0</v>
      </c>
      <c r="BU16" s="126">
        <f t="shared" si="27"/>
        <v>0</v>
      </c>
      <c r="BV16" s="77"/>
      <c r="BW16" s="77"/>
      <c r="BX16" s="77"/>
      <c r="BY16" s="77"/>
      <c r="BZ16" s="77"/>
      <c r="CA16" s="77"/>
      <c r="CB16" s="77">
        <f t="shared" si="28"/>
        <v>0</v>
      </c>
      <c r="CC16" s="215"/>
      <c r="CD16" s="215"/>
      <c r="CE16" s="215"/>
      <c r="CF16" s="215"/>
      <c r="CG16" s="215"/>
      <c r="CH16" s="215"/>
      <c r="CI16" s="215">
        <f t="shared" si="29"/>
        <v>0</v>
      </c>
      <c r="CJ16" s="4"/>
      <c r="CK16" s="4"/>
      <c r="CL16" s="49">
        <f t="shared" si="30"/>
        <v>0</v>
      </c>
      <c r="CM16" s="4"/>
      <c r="CN16" s="4">
        <f t="shared" si="11"/>
        <v>0</v>
      </c>
      <c r="CO16" s="22">
        <f t="shared" si="12"/>
        <v>0</v>
      </c>
      <c r="CP16" s="4"/>
      <c r="CQ16" s="4"/>
      <c r="CR16" s="4"/>
      <c r="CS16" s="4">
        <f t="shared" si="31"/>
        <v>0</v>
      </c>
      <c r="CT16" s="4"/>
      <c r="CU16" s="226">
        <f t="shared" si="32"/>
        <v>0</v>
      </c>
      <c r="CV16" s="4"/>
      <c r="CW16" s="119">
        <f t="shared" si="41"/>
        <v>1285</v>
      </c>
      <c r="CX16" s="118">
        <f t="shared" si="33"/>
        <v>0</v>
      </c>
      <c r="CY16" s="118">
        <f t="shared" si="34"/>
        <v>1285</v>
      </c>
      <c r="CZ16" s="119">
        <f t="shared" si="35"/>
        <v>0</v>
      </c>
      <c r="DA16" s="119"/>
      <c r="DB16" s="119">
        <f t="shared" si="36"/>
        <v>1285</v>
      </c>
      <c r="DC16" s="81"/>
      <c r="DD16" s="128">
        <f t="shared" si="37"/>
        <v>0</v>
      </c>
      <c r="DE16" s="129">
        <f t="shared" si="38"/>
        <v>0</v>
      </c>
      <c r="DF16" s="128">
        <f t="shared" si="13"/>
        <v>0</v>
      </c>
      <c r="DG16" s="130">
        <f t="shared" si="14"/>
        <v>0</v>
      </c>
      <c r="DH16" s="130">
        <f t="shared" si="15"/>
        <v>0</v>
      </c>
      <c r="DI16" s="130">
        <f t="shared" si="39"/>
        <v>0</v>
      </c>
      <c r="DJ16" s="130">
        <f t="shared" si="44"/>
        <v>0</v>
      </c>
      <c r="DK16" s="130">
        <f t="shared" si="43"/>
        <v>0</v>
      </c>
      <c r="DL16" s="129">
        <f t="shared" si="40"/>
        <v>0</v>
      </c>
      <c r="DM16" s="200">
        <f t="shared" si="42"/>
        <v>0</v>
      </c>
      <c r="DN16" s="63"/>
      <c r="DO16" s="120"/>
      <c r="DP16" s="122">
        <f t="shared" si="17"/>
        <v>0</v>
      </c>
      <c r="DQ16" s="223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</row>
    <row r="17" spans="1:122" ht="15.6">
      <c r="A17" s="32">
        <f t="shared" si="18"/>
        <v>46188</v>
      </c>
      <c r="B17" s="4">
        <v>115</v>
      </c>
      <c r="C17" s="4">
        <v>0</v>
      </c>
      <c r="D17" s="4">
        <v>77</v>
      </c>
      <c r="E17" s="4">
        <v>11</v>
      </c>
      <c r="F17" s="4">
        <f t="shared" si="19"/>
        <v>203</v>
      </c>
      <c r="G17" s="4">
        <f t="shared" si="0"/>
        <v>3450</v>
      </c>
      <c r="H17" s="4">
        <f t="shared" si="1"/>
        <v>0</v>
      </c>
      <c r="I17" s="4">
        <f t="shared" si="2"/>
        <v>2310</v>
      </c>
      <c r="J17" s="4">
        <f t="shared" si="3"/>
        <v>330</v>
      </c>
      <c r="K17" s="30">
        <f t="shared" si="4"/>
        <v>6090</v>
      </c>
      <c r="L17" s="52">
        <f t="shared" si="5"/>
        <v>2256</v>
      </c>
      <c r="M17" s="150">
        <v>2</v>
      </c>
      <c r="N17" s="123">
        <v>16.5</v>
      </c>
      <c r="O17" s="123">
        <v>14</v>
      </c>
      <c r="P17" s="123">
        <v>90.95</v>
      </c>
      <c r="Q17" s="123">
        <v>0</v>
      </c>
      <c r="R17" s="123">
        <v>0</v>
      </c>
      <c r="S17" s="203">
        <v>6</v>
      </c>
      <c r="T17" s="203">
        <v>48</v>
      </c>
      <c r="U17" s="203"/>
      <c r="V17" s="204">
        <f t="shared" si="20"/>
        <v>48</v>
      </c>
      <c r="W17" s="203">
        <v>16.399999999999999</v>
      </c>
      <c r="X17" s="203">
        <v>200</v>
      </c>
      <c r="Y17" s="123">
        <f t="shared" si="21"/>
        <v>90.95</v>
      </c>
      <c r="Z17" s="144"/>
      <c r="AA17" s="144"/>
      <c r="AB17" s="144"/>
      <c r="AC17" s="144"/>
      <c r="AD17" s="144"/>
      <c r="AE17" s="144"/>
      <c r="AF17" s="123"/>
      <c r="AG17" s="123"/>
      <c r="AH17" s="123"/>
      <c r="AI17" s="123"/>
      <c r="AJ17" s="123">
        <f t="shared" si="22"/>
        <v>0</v>
      </c>
      <c r="AK17" s="123"/>
      <c r="AL17" s="144"/>
      <c r="AM17" s="144">
        <v>0</v>
      </c>
      <c r="AN17" s="144"/>
      <c r="AO17" s="144"/>
      <c r="AP17" s="187"/>
      <c r="AQ17" s="187"/>
      <c r="AR17" s="187">
        <f t="shared" si="23"/>
        <v>0</v>
      </c>
      <c r="AS17" s="187">
        <v>0</v>
      </c>
      <c r="AT17" s="55">
        <v>3</v>
      </c>
      <c r="AU17" s="55">
        <v>306</v>
      </c>
      <c r="AV17" s="55">
        <v>0</v>
      </c>
      <c r="AW17" s="53">
        <v>0</v>
      </c>
      <c r="AX17" s="55">
        <v>34.1</v>
      </c>
      <c r="AY17" s="55">
        <v>9.2100000000000009</v>
      </c>
      <c r="AZ17" s="55">
        <v>10</v>
      </c>
      <c r="BA17" s="55">
        <v>10</v>
      </c>
      <c r="BB17" s="84">
        <v>1500</v>
      </c>
      <c r="BC17" s="84">
        <v>800</v>
      </c>
      <c r="BD17" s="85">
        <f t="shared" si="24"/>
        <v>700</v>
      </c>
      <c r="BE17" s="100"/>
      <c r="BF17" s="100"/>
      <c r="BG17" s="100"/>
      <c r="BH17" s="100"/>
      <c r="BI17" s="100"/>
      <c r="BJ17" s="100"/>
      <c r="BK17" s="100"/>
      <c r="BL17" s="100"/>
      <c r="BM17" s="100"/>
      <c r="BN17" s="100">
        <f t="shared" si="25"/>
        <v>0</v>
      </c>
      <c r="BO17" s="126">
        <f t="shared" si="6"/>
        <v>9.2100000000000009</v>
      </c>
      <c r="BP17" s="126">
        <f t="shared" si="7"/>
        <v>10</v>
      </c>
      <c r="BQ17" s="126">
        <f t="shared" si="8"/>
        <v>10</v>
      </c>
      <c r="BR17" s="126">
        <f t="shared" si="9"/>
        <v>1500</v>
      </c>
      <c r="BS17" s="126">
        <f t="shared" si="10"/>
        <v>34.1</v>
      </c>
      <c r="BT17" s="126">
        <f t="shared" si="26"/>
        <v>0</v>
      </c>
      <c r="BU17" s="126">
        <f t="shared" si="27"/>
        <v>306</v>
      </c>
      <c r="BV17" s="77">
        <v>5.9</v>
      </c>
      <c r="BW17" s="77">
        <v>600</v>
      </c>
      <c r="BX17" s="77">
        <v>1</v>
      </c>
      <c r="BY17" s="77">
        <v>5.0999999999999996</v>
      </c>
      <c r="BZ17" s="77">
        <v>30</v>
      </c>
      <c r="CA17" s="77">
        <v>100</v>
      </c>
      <c r="CB17" s="77">
        <f t="shared" si="28"/>
        <v>130</v>
      </c>
      <c r="CC17" s="215"/>
      <c r="CD17" s="215">
        <v>0</v>
      </c>
      <c r="CE17" s="215">
        <v>0</v>
      </c>
      <c r="CF17" s="215">
        <v>0</v>
      </c>
      <c r="CG17" s="215">
        <v>0</v>
      </c>
      <c r="CH17" s="215">
        <v>0</v>
      </c>
      <c r="CI17" s="215">
        <v>0</v>
      </c>
      <c r="CJ17" s="13">
        <v>658</v>
      </c>
      <c r="CK17" s="4">
        <v>226</v>
      </c>
      <c r="CL17" s="49">
        <f t="shared" si="30"/>
        <v>0</v>
      </c>
      <c r="CM17" s="4">
        <v>116</v>
      </c>
      <c r="CN17" s="4">
        <v>0</v>
      </c>
      <c r="CO17" s="22">
        <f t="shared" si="12"/>
        <v>0</v>
      </c>
      <c r="CP17" s="4"/>
      <c r="CQ17" s="4">
        <v>100</v>
      </c>
      <c r="CR17" s="4">
        <v>250</v>
      </c>
      <c r="CS17" s="4">
        <f t="shared" si="31"/>
        <v>200</v>
      </c>
      <c r="CT17" s="4"/>
      <c r="CU17" s="226">
        <f t="shared" si="32"/>
        <v>1550</v>
      </c>
      <c r="CV17" s="4">
        <v>2000</v>
      </c>
      <c r="CW17" s="119">
        <f t="shared" si="41"/>
        <v>1285</v>
      </c>
      <c r="CX17" s="118">
        <f t="shared" si="33"/>
        <v>2000</v>
      </c>
      <c r="CY17" s="118">
        <f t="shared" si="34"/>
        <v>3285</v>
      </c>
      <c r="CZ17" s="119">
        <f t="shared" si="35"/>
        <v>1550</v>
      </c>
      <c r="DA17" s="81"/>
      <c r="DB17" s="119">
        <f t="shared" si="36"/>
        <v>1735</v>
      </c>
      <c r="DC17" s="81">
        <v>1977</v>
      </c>
      <c r="DD17" s="128">
        <f t="shared" si="37"/>
        <v>0</v>
      </c>
      <c r="DE17" s="129">
        <f t="shared" si="38"/>
        <v>0</v>
      </c>
      <c r="DF17" s="128">
        <f t="shared" si="13"/>
        <v>306</v>
      </c>
      <c r="DG17" s="130">
        <f t="shared" si="14"/>
        <v>0</v>
      </c>
      <c r="DH17" s="130">
        <f t="shared" si="15"/>
        <v>130</v>
      </c>
      <c r="DI17" s="130">
        <f t="shared" si="39"/>
        <v>0</v>
      </c>
      <c r="DJ17" s="130">
        <f t="shared" si="44"/>
        <v>200</v>
      </c>
      <c r="DK17" s="130">
        <f t="shared" si="43"/>
        <v>0</v>
      </c>
      <c r="DL17" s="129">
        <f t="shared" si="40"/>
        <v>1341</v>
      </c>
      <c r="DM17" s="200">
        <f t="shared" si="42"/>
        <v>1541</v>
      </c>
      <c r="DN17" s="172">
        <v>1737</v>
      </c>
      <c r="DO17" s="120">
        <v>8628</v>
      </c>
      <c r="DP17" s="122">
        <f t="shared" si="17"/>
        <v>436</v>
      </c>
      <c r="DQ17" s="223"/>
    </row>
    <row r="18" spans="1:122" ht="15.6">
      <c r="A18" s="32">
        <f t="shared" si="18"/>
        <v>46189</v>
      </c>
      <c r="B18" s="4">
        <v>42</v>
      </c>
      <c r="C18" s="4"/>
      <c r="D18" s="4">
        <v>119</v>
      </c>
      <c r="E18" s="4">
        <v>7</v>
      </c>
      <c r="F18" s="4">
        <f t="shared" si="19"/>
        <v>168</v>
      </c>
      <c r="G18" s="4">
        <f t="shared" si="0"/>
        <v>1260</v>
      </c>
      <c r="H18" s="4">
        <f t="shared" si="1"/>
        <v>0</v>
      </c>
      <c r="I18" s="4">
        <f t="shared" si="2"/>
        <v>3570</v>
      </c>
      <c r="J18" s="4">
        <f t="shared" si="3"/>
        <v>210</v>
      </c>
      <c r="K18" s="30">
        <f t="shared" si="4"/>
        <v>5040</v>
      </c>
      <c r="L18" s="52">
        <f t="shared" si="5"/>
        <v>1867</v>
      </c>
      <c r="M18" s="150">
        <v>3</v>
      </c>
      <c r="N18" s="123">
        <v>38.200000000000003</v>
      </c>
      <c r="O18" s="123">
        <v>18</v>
      </c>
      <c r="P18" s="123">
        <v>130.5</v>
      </c>
      <c r="Q18" s="123">
        <v>0</v>
      </c>
      <c r="R18" s="123">
        <v>10</v>
      </c>
      <c r="S18" s="203">
        <v>6</v>
      </c>
      <c r="T18" s="203">
        <v>48</v>
      </c>
      <c r="U18" s="203"/>
      <c r="V18" s="204">
        <f t="shared" si="20"/>
        <v>48</v>
      </c>
      <c r="W18" s="203">
        <v>20.9</v>
      </c>
      <c r="X18" s="203">
        <v>200</v>
      </c>
      <c r="Y18" s="123">
        <f t="shared" ref="Y18:Y33" si="45">P18-Q18-R18</f>
        <v>120.5</v>
      </c>
      <c r="Z18" s="144">
        <v>0</v>
      </c>
      <c r="AA18" s="144">
        <v>4</v>
      </c>
      <c r="AB18" s="144">
        <v>4</v>
      </c>
      <c r="AC18" s="144">
        <v>32</v>
      </c>
      <c r="AD18" s="144">
        <v>1005.44</v>
      </c>
      <c r="AE18" s="144">
        <v>150</v>
      </c>
      <c r="AF18" s="123">
        <v>0</v>
      </c>
      <c r="AG18" s="123">
        <v>0</v>
      </c>
      <c r="AH18" s="123">
        <v>0</v>
      </c>
      <c r="AI18" s="123">
        <v>0</v>
      </c>
      <c r="AJ18" s="123">
        <f t="shared" si="22"/>
        <v>0</v>
      </c>
      <c r="AK18" s="123">
        <v>0</v>
      </c>
      <c r="AL18" s="144">
        <v>1</v>
      </c>
      <c r="AM18" s="144">
        <v>3.3</v>
      </c>
      <c r="AN18" s="144">
        <v>26</v>
      </c>
      <c r="AO18" s="144">
        <v>32</v>
      </c>
      <c r="AP18" s="187"/>
      <c r="AQ18" s="187">
        <v>32</v>
      </c>
      <c r="AR18" s="187">
        <f t="shared" si="23"/>
        <v>0</v>
      </c>
      <c r="AS18" s="187">
        <v>150</v>
      </c>
      <c r="AT18" s="55">
        <v>3</v>
      </c>
      <c r="AU18" s="55">
        <v>569</v>
      </c>
      <c r="AV18" s="55">
        <v>0</v>
      </c>
      <c r="AW18" s="53">
        <v>0</v>
      </c>
      <c r="AX18" s="55">
        <v>26.5</v>
      </c>
      <c r="AY18" s="55">
        <v>8.6199999999999992</v>
      </c>
      <c r="AZ18" s="55">
        <v>10</v>
      </c>
      <c r="BA18" s="55">
        <v>9</v>
      </c>
      <c r="BB18" s="84">
        <v>1400</v>
      </c>
      <c r="BC18" s="84">
        <v>700</v>
      </c>
      <c r="BD18" s="85">
        <f t="shared" si="24"/>
        <v>700</v>
      </c>
      <c r="BE18" s="100"/>
      <c r="BF18" s="100"/>
      <c r="BG18" s="100"/>
      <c r="BH18" s="100"/>
      <c r="BI18" s="100"/>
      <c r="BJ18" s="100"/>
      <c r="BK18" s="100"/>
      <c r="BL18" s="100"/>
      <c r="BM18" s="100"/>
      <c r="BN18" s="100">
        <f t="shared" si="25"/>
        <v>0</v>
      </c>
      <c r="BO18" s="126">
        <f t="shared" si="6"/>
        <v>8.6199999999999992</v>
      </c>
      <c r="BP18" s="126">
        <f t="shared" si="7"/>
        <v>10</v>
      </c>
      <c r="BQ18" s="126">
        <f t="shared" si="8"/>
        <v>9</v>
      </c>
      <c r="BR18" s="126">
        <f t="shared" si="9"/>
        <v>1400</v>
      </c>
      <c r="BS18" s="126">
        <f t="shared" si="10"/>
        <v>26.5</v>
      </c>
      <c r="BT18" s="126">
        <f t="shared" si="26"/>
        <v>0</v>
      </c>
      <c r="BU18" s="126">
        <f t="shared" si="27"/>
        <v>569</v>
      </c>
      <c r="BV18" s="77">
        <v>7.5</v>
      </c>
      <c r="BW18" s="77">
        <v>700</v>
      </c>
      <c r="BX18" s="77">
        <v>1</v>
      </c>
      <c r="BY18" s="77">
        <v>7.8</v>
      </c>
      <c r="BZ18" s="77">
        <v>126</v>
      </c>
      <c r="CA18" s="77">
        <v>30</v>
      </c>
      <c r="CB18" s="77">
        <f t="shared" si="28"/>
        <v>156</v>
      </c>
      <c r="CC18" s="215">
        <v>0</v>
      </c>
      <c r="CD18" s="215">
        <v>0</v>
      </c>
      <c r="CE18" s="215">
        <v>0</v>
      </c>
      <c r="CF18" s="215">
        <v>0</v>
      </c>
      <c r="CG18" s="215">
        <v>0</v>
      </c>
      <c r="CH18" s="215">
        <v>0</v>
      </c>
      <c r="CI18" s="215">
        <f t="shared" si="29"/>
        <v>0</v>
      </c>
      <c r="CJ18" s="13">
        <f>3106-76</f>
        <v>3030</v>
      </c>
      <c r="CK18" s="4">
        <f>681-74</f>
        <v>607</v>
      </c>
      <c r="CL18" s="49">
        <f t="shared" si="30"/>
        <v>150</v>
      </c>
      <c r="CM18" s="4">
        <v>100</v>
      </c>
      <c r="CN18" s="4">
        <f t="shared" ref="CN18:CN33" si="46">AE18</f>
        <v>150</v>
      </c>
      <c r="CO18" s="22">
        <f t="shared" si="12"/>
        <v>0</v>
      </c>
      <c r="CP18" s="4">
        <v>0</v>
      </c>
      <c r="CQ18" s="4">
        <v>150</v>
      </c>
      <c r="CR18" s="4">
        <v>0</v>
      </c>
      <c r="CS18" s="4">
        <f t="shared" si="31"/>
        <v>200</v>
      </c>
      <c r="CT18" s="4"/>
      <c r="CU18" s="226">
        <f t="shared" si="32"/>
        <v>4387</v>
      </c>
      <c r="CV18" s="4">
        <v>3256</v>
      </c>
      <c r="CW18" s="119">
        <f t="shared" si="41"/>
        <v>1735</v>
      </c>
      <c r="CX18" s="118">
        <f t="shared" si="33"/>
        <v>3256</v>
      </c>
      <c r="CY18" s="118">
        <f t="shared" si="34"/>
        <v>4991</v>
      </c>
      <c r="CZ18" s="119">
        <f t="shared" si="35"/>
        <v>4387</v>
      </c>
      <c r="DA18" s="81"/>
      <c r="DB18" s="119">
        <f t="shared" si="36"/>
        <v>604</v>
      </c>
      <c r="DC18" s="81">
        <v>3175</v>
      </c>
      <c r="DD18" s="128">
        <f t="shared" si="37"/>
        <v>150</v>
      </c>
      <c r="DE18" s="129">
        <f t="shared" si="38"/>
        <v>0</v>
      </c>
      <c r="DF18" s="128">
        <f t="shared" si="13"/>
        <v>569</v>
      </c>
      <c r="DG18" s="130">
        <f t="shared" si="14"/>
        <v>0</v>
      </c>
      <c r="DH18" s="130">
        <f t="shared" si="15"/>
        <v>156</v>
      </c>
      <c r="DI18" s="130">
        <f t="shared" si="39"/>
        <v>0</v>
      </c>
      <c r="DJ18" s="130">
        <f t="shared" si="44"/>
        <v>200</v>
      </c>
      <c r="DK18" s="130">
        <f t="shared" si="43"/>
        <v>150</v>
      </c>
      <c r="DL18" s="129">
        <f t="shared" si="40"/>
        <v>1950</v>
      </c>
      <c r="DM18" s="200">
        <f t="shared" si="42"/>
        <v>2300</v>
      </c>
      <c r="DN18" s="63">
        <v>606</v>
      </c>
      <c r="DO18" s="120">
        <v>9640</v>
      </c>
      <c r="DP18" s="122">
        <f t="shared" si="17"/>
        <v>725</v>
      </c>
      <c r="DQ18" s="223"/>
    </row>
    <row r="19" spans="1:122" ht="15.6">
      <c r="A19" s="32">
        <f t="shared" si="18"/>
        <v>46190</v>
      </c>
      <c r="B19" s="4">
        <v>47</v>
      </c>
      <c r="C19" s="4"/>
      <c r="D19" s="4">
        <v>96</v>
      </c>
      <c r="E19" s="4">
        <v>11</v>
      </c>
      <c r="F19" s="4">
        <f t="shared" si="19"/>
        <v>154</v>
      </c>
      <c r="G19" s="4">
        <f t="shared" si="0"/>
        <v>1410</v>
      </c>
      <c r="H19" s="4">
        <f t="shared" si="1"/>
        <v>0</v>
      </c>
      <c r="I19" s="4">
        <f t="shared" si="2"/>
        <v>2880</v>
      </c>
      <c r="J19" s="4">
        <f t="shared" si="3"/>
        <v>330</v>
      </c>
      <c r="K19" s="30">
        <f t="shared" si="4"/>
        <v>4620</v>
      </c>
      <c r="L19" s="52">
        <f t="shared" si="5"/>
        <v>1712</v>
      </c>
      <c r="M19" s="150">
        <v>3</v>
      </c>
      <c r="N19" s="123">
        <v>22.6</v>
      </c>
      <c r="O19" s="123">
        <v>18</v>
      </c>
      <c r="P19" s="123">
        <v>137.1</v>
      </c>
      <c r="Q19" s="123">
        <v>0</v>
      </c>
      <c r="R19" s="123">
        <v>37.299999999999997</v>
      </c>
      <c r="S19" s="203">
        <v>4.5</v>
      </c>
      <c r="T19" s="203">
        <v>40</v>
      </c>
      <c r="U19" s="203"/>
      <c r="V19" s="204">
        <f t="shared" si="20"/>
        <v>40</v>
      </c>
      <c r="W19" s="203">
        <v>19.2</v>
      </c>
      <c r="X19" s="203">
        <v>908</v>
      </c>
      <c r="Y19" s="123">
        <f>P19-Q19-R19</f>
        <v>99.8</v>
      </c>
      <c r="Z19" s="144">
        <v>0</v>
      </c>
      <c r="AA19" s="144">
        <v>9.4</v>
      </c>
      <c r="AB19" s="144">
        <v>7</v>
      </c>
      <c r="AC19" s="144">
        <v>75</v>
      </c>
      <c r="AD19" s="144">
        <v>2525.8400000000006</v>
      </c>
      <c r="AE19" s="144">
        <v>445</v>
      </c>
      <c r="AF19" s="123"/>
      <c r="AG19" s="123"/>
      <c r="AH19" s="123"/>
      <c r="AI19" s="123"/>
      <c r="AJ19" s="123">
        <f t="shared" si="22"/>
        <v>0</v>
      </c>
      <c r="AK19" s="123"/>
      <c r="AL19" s="144">
        <v>2</v>
      </c>
      <c r="AM19" s="144">
        <v>8.5</v>
      </c>
      <c r="AN19" s="144">
        <v>57</v>
      </c>
      <c r="AO19" s="144">
        <v>143.30000000000001</v>
      </c>
      <c r="AP19" s="187"/>
      <c r="AQ19" s="187">
        <v>143.30000000000001</v>
      </c>
      <c r="AR19" s="187">
        <f t="shared" si="23"/>
        <v>0</v>
      </c>
      <c r="AS19" s="187">
        <v>230</v>
      </c>
      <c r="AT19" s="55">
        <v>5</v>
      </c>
      <c r="AU19" s="55">
        <v>451</v>
      </c>
      <c r="AV19" s="55">
        <v>0</v>
      </c>
      <c r="AW19" s="53">
        <v>0</v>
      </c>
      <c r="AX19" s="55">
        <v>29.8</v>
      </c>
      <c r="AY19" s="55">
        <v>5.86</v>
      </c>
      <c r="AZ19" s="55">
        <v>7</v>
      </c>
      <c r="BA19" s="55">
        <v>8</v>
      </c>
      <c r="BB19" s="84">
        <v>950</v>
      </c>
      <c r="BC19" s="84">
        <v>450</v>
      </c>
      <c r="BD19" s="85">
        <f t="shared" si="24"/>
        <v>500</v>
      </c>
      <c r="BE19" s="100"/>
      <c r="BF19" s="100"/>
      <c r="BG19" s="100"/>
      <c r="BH19" s="100"/>
      <c r="BI19" s="100"/>
      <c r="BJ19" s="100"/>
      <c r="BK19" s="100"/>
      <c r="BL19" s="100"/>
      <c r="BM19" s="100"/>
      <c r="BN19" s="100">
        <f t="shared" si="25"/>
        <v>0</v>
      </c>
      <c r="BO19" s="126">
        <f t="shared" si="6"/>
        <v>5.86</v>
      </c>
      <c r="BP19" s="126">
        <f t="shared" si="7"/>
        <v>7</v>
      </c>
      <c r="BQ19" s="126">
        <f t="shared" si="8"/>
        <v>8</v>
      </c>
      <c r="BR19" s="126">
        <f t="shared" si="9"/>
        <v>950</v>
      </c>
      <c r="BS19" s="126">
        <f t="shared" si="10"/>
        <v>29.8</v>
      </c>
      <c r="BT19" s="126">
        <f t="shared" si="26"/>
        <v>0</v>
      </c>
      <c r="BU19" s="126">
        <f t="shared" si="27"/>
        <v>451</v>
      </c>
      <c r="BV19" s="78">
        <v>5.0999999999999996</v>
      </c>
      <c r="BW19" s="78">
        <v>500</v>
      </c>
      <c r="BX19" s="77">
        <v>1</v>
      </c>
      <c r="BY19" s="77">
        <v>5.6</v>
      </c>
      <c r="BZ19" s="77">
        <v>70</v>
      </c>
      <c r="CA19" s="78">
        <v>60</v>
      </c>
      <c r="CB19" s="77">
        <f t="shared" si="28"/>
        <v>130</v>
      </c>
      <c r="CC19" s="215">
        <v>1.6</v>
      </c>
      <c r="CD19" s="215">
        <v>300</v>
      </c>
      <c r="CE19" s="215">
        <v>1</v>
      </c>
      <c r="CF19" s="215">
        <v>10.5</v>
      </c>
      <c r="CG19" s="215">
        <v>30</v>
      </c>
      <c r="CH19" s="215">
        <v>35</v>
      </c>
      <c r="CI19" s="215">
        <f t="shared" si="29"/>
        <v>65</v>
      </c>
      <c r="CJ19" s="4">
        <f>600-255</f>
        <v>345</v>
      </c>
      <c r="CK19" s="4">
        <f>783-190</f>
        <v>593</v>
      </c>
      <c r="CL19" s="49">
        <f t="shared" si="30"/>
        <v>230</v>
      </c>
      <c r="CM19" s="4">
        <v>67</v>
      </c>
      <c r="CN19" s="4">
        <f t="shared" si="46"/>
        <v>445</v>
      </c>
      <c r="CO19" s="22">
        <f t="shared" si="12"/>
        <v>0</v>
      </c>
      <c r="CP19" s="4"/>
      <c r="CQ19" s="4">
        <v>100</v>
      </c>
      <c r="CR19" s="4">
        <v>200</v>
      </c>
      <c r="CS19" s="4">
        <f t="shared" si="31"/>
        <v>908</v>
      </c>
      <c r="CT19" s="4"/>
      <c r="CU19" s="226">
        <f t="shared" si="32"/>
        <v>2888</v>
      </c>
      <c r="CV19" s="4">
        <v>2908</v>
      </c>
      <c r="CW19" s="119">
        <f t="shared" si="41"/>
        <v>604</v>
      </c>
      <c r="CX19" s="118">
        <f t="shared" si="33"/>
        <v>2908</v>
      </c>
      <c r="CY19" s="118">
        <f t="shared" si="34"/>
        <v>3512</v>
      </c>
      <c r="CZ19" s="119">
        <f t="shared" si="35"/>
        <v>2888</v>
      </c>
      <c r="DA19" s="81"/>
      <c r="DB19" s="119">
        <f t="shared" si="36"/>
        <v>624</v>
      </c>
      <c r="DC19" s="81">
        <v>3609</v>
      </c>
      <c r="DD19" s="128">
        <f t="shared" si="37"/>
        <v>445</v>
      </c>
      <c r="DE19" s="129">
        <f t="shared" si="38"/>
        <v>0</v>
      </c>
      <c r="DF19" s="128">
        <f t="shared" si="13"/>
        <v>451</v>
      </c>
      <c r="DG19" s="130">
        <f t="shared" si="14"/>
        <v>0</v>
      </c>
      <c r="DH19" s="130">
        <f t="shared" si="15"/>
        <v>130</v>
      </c>
      <c r="DI19" s="130">
        <f t="shared" si="39"/>
        <v>65</v>
      </c>
      <c r="DJ19" s="130">
        <f t="shared" si="44"/>
        <v>908</v>
      </c>
      <c r="DK19" s="130">
        <f t="shared" si="43"/>
        <v>230</v>
      </c>
      <c r="DL19" s="129">
        <f t="shared" si="40"/>
        <v>1380</v>
      </c>
      <c r="DM19" s="200">
        <f t="shared" si="42"/>
        <v>2518</v>
      </c>
      <c r="DN19" s="173">
        <v>627</v>
      </c>
      <c r="DO19" s="120">
        <v>8919</v>
      </c>
      <c r="DP19" s="122">
        <f t="shared" si="17"/>
        <v>581</v>
      </c>
      <c r="DQ19" s="223"/>
    </row>
    <row r="20" spans="1:122" ht="15.6">
      <c r="A20" s="40">
        <f t="shared" si="18"/>
        <v>46191</v>
      </c>
      <c r="B20" s="25">
        <v>17</v>
      </c>
      <c r="C20" s="25"/>
      <c r="D20" s="25">
        <v>140</v>
      </c>
      <c r="E20" s="25"/>
      <c r="F20" s="4">
        <f t="shared" si="19"/>
        <v>157</v>
      </c>
      <c r="G20" s="25">
        <f t="shared" si="0"/>
        <v>510</v>
      </c>
      <c r="H20" s="25">
        <f t="shared" si="1"/>
        <v>0</v>
      </c>
      <c r="I20" s="25">
        <f t="shared" si="2"/>
        <v>4200</v>
      </c>
      <c r="J20" s="25">
        <f t="shared" si="3"/>
        <v>0</v>
      </c>
      <c r="K20" s="12">
        <f t="shared" si="4"/>
        <v>4710</v>
      </c>
      <c r="L20" s="52">
        <f t="shared" si="5"/>
        <v>1745</v>
      </c>
      <c r="M20" s="149">
        <v>3</v>
      </c>
      <c r="N20" s="123">
        <v>21.1</v>
      </c>
      <c r="O20" s="123">
        <v>18</v>
      </c>
      <c r="P20" s="123">
        <v>105.35</v>
      </c>
      <c r="Q20" s="123"/>
      <c r="R20" s="123">
        <v>27.25</v>
      </c>
      <c r="S20" s="203">
        <v>4.7</v>
      </c>
      <c r="T20" s="203">
        <v>32</v>
      </c>
      <c r="U20" s="203"/>
      <c r="V20" s="204">
        <f t="shared" si="20"/>
        <v>32</v>
      </c>
      <c r="W20" s="203">
        <v>12.7</v>
      </c>
      <c r="X20" s="203">
        <v>200</v>
      </c>
      <c r="Y20" s="123">
        <f>P20-Q20-R20</f>
        <v>78.099999999999994</v>
      </c>
      <c r="Z20" s="144">
        <v>0</v>
      </c>
      <c r="AA20" s="144">
        <v>5.2</v>
      </c>
      <c r="AB20" s="144">
        <v>5</v>
      </c>
      <c r="AC20" s="144">
        <v>37</v>
      </c>
      <c r="AD20" s="144">
        <v>1227.8899999999999</v>
      </c>
      <c r="AE20" s="144">
        <v>275</v>
      </c>
      <c r="AF20" s="123"/>
      <c r="AG20" s="123"/>
      <c r="AH20" s="123"/>
      <c r="AI20" s="123"/>
      <c r="AJ20" s="123">
        <f t="shared" si="22"/>
        <v>0</v>
      </c>
      <c r="AK20" s="123"/>
      <c r="AL20" s="144">
        <v>2</v>
      </c>
      <c r="AM20" s="144">
        <v>6.6</v>
      </c>
      <c r="AN20" s="144">
        <v>33</v>
      </c>
      <c r="AO20" s="144">
        <v>103.2</v>
      </c>
      <c r="AP20" s="187"/>
      <c r="AQ20" s="187">
        <v>103.2</v>
      </c>
      <c r="AR20" s="187">
        <f t="shared" si="23"/>
        <v>0</v>
      </c>
      <c r="AS20" s="190">
        <v>215</v>
      </c>
      <c r="AT20" s="89">
        <v>4</v>
      </c>
      <c r="AU20" s="89">
        <v>375</v>
      </c>
      <c r="AV20" s="89"/>
      <c r="AW20" s="90"/>
      <c r="AX20" s="89">
        <v>21.8</v>
      </c>
      <c r="AY20" s="89">
        <v>6.65</v>
      </c>
      <c r="AZ20" s="89">
        <v>7</v>
      </c>
      <c r="BA20" s="89">
        <v>7</v>
      </c>
      <c r="BB20" s="91">
        <v>1100</v>
      </c>
      <c r="BC20" s="84">
        <v>600</v>
      </c>
      <c r="BD20" s="85">
        <f t="shared" si="24"/>
        <v>500</v>
      </c>
      <c r="BE20" s="100">
        <v>5</v>
      </c>
      <c r="BF20" s="100">
        <v>5</v>
      </c>
      <c r="BG20" s="100">
        <v>400</v>
      </c>
      <c r="BH20" s="102">
        <v>200</v>
      </c>
      <c r="BI20" s="102">
        <v>200</v>
      </c>
      <c r="BJ20" s="102">
        <v>1</v>
      </c>
      <c r="BK20" s="102">
        <v>5.7</v>
      </c>
      <c r="BL20" s="102">
        <v>74</v>
      </c>
      <c r="BM20" s="102">
        <v>534</v>
      </c>
      <c r="BN20" s="100">
        <f t="shared" si="25"/>
        <v>608</v>
      </c>
      <c r="BO20" s="126">
        <f t="shared" si="6"/>
        <v>11.65</v>
      </c>
      <c r="BP20" s="126">
        <f t="shared" si="7"/>
        <v>12</v>
      </c>
      <c r="BQ20" s="126">
        <f t="shared" si="8"/>
        <v>12</v>
      </c>
      <c r="BR20" s="126">
        <f t="shared" si="9"/>
        <v>1500</v>
      </c>
      <c r="BS20" s="126">
        <f t="shared" si="10"/>
        <v>27.5</v>
      </c>
      <c r="BT20" s="126">
        <f t="shared" si="26"/>
        <v>534</v>
      </c>
      <c r="BU20" s="126">
        <f t="shared" si="27"/>
        <v>983</v>
      </c>
      <c r="BV20" s="78">
        <v>2.8</v>
      </c>
      <c r="BW20" s="78">
        <v>250</v>
      </c>
      <c r="BX20" s="77">
        <v>0</v>
      </c>
      <c r="BY20" s="77">
        <v>0</v>
      </c>
      <c r="BZ20" s="77">
        <v>0</v>
      </c>
      <c r="CA20" s="78">
        <v>30</v>
      </c>
      <c r="CB20" s="77">
        <f t="shared" si="28"/>
        <v>30</v>
      </c>
      <c r="CC20" s="217">
        <v>4.3</v>
      </c>
      <c r="CD20" s="217">
        <v>800</v>
      </c>
      <c r="CE20" s="217">
        <v>1</v>
      </c>
      <c r="CF20" s="217">
        <v>2.2000000000000002</v>
      </c>
      <c r="CG20" s="217">
        <v>150</v>
      </c>
      <c r="CH20" s="217">
        <v>72</v>
      </c>
      <c r="CI20" s="215">
        <f t="shared" si="29"/>
        <v>222</v>
      </c>
      <c r="CJ20" s="25">
        <f>450-168</f>
        <v>282</v>
      </c>
      <c r="CK20" s="25">
        <f>355-107</f>
        <v>248</v>
      </c>
      <c r="CL20" s="49">
        <f t="shared" si="30"/>
        <v>215</v>
      </c>
      <c r="CM20" s="25">
        <v>100</v>
      </c>
      <c r="CN20" s="4">
        <f t="shared" si="46"/>
        <v>275</v>
      </c>
      <c r="CO20" s="22">
        <f t="shared" si="12"/>
        <v>0</v>
      </c>
      <c r="CP20" s="25">
        <v>600</v>
      </c>
      <c r="CQ20" s="25">
        <v>100</v>
      </c>
      <c r="CR20" s="25">
        <v>400</v>
      </c>
      <c r="CS20" s="4">
        <f t="shared" si="31"/>
        <v>200</v>
      </c>
      <c r="CT20" s="4"/>
      <c r="CU20" s="226">
        <f t="shared" si="32"/>
        <v>2420</v>
      </c>
      <c r="CV20" s="25">
        <v>2000</v>
      </c>
      <c r="CW20" s="119">
        <f t="shared" si="41"/>
        <v>624</v>
      </c>
      <c r="CX20" s="118">
        <f t="shared" si="33"/>
        <v>2000</v>
      </c>
      <c r="CY20" s="118">
        <f t="shared" si="34"/>
        <v>2624</v>
      </c>
      <c r="CZ20" s="119">
        <f t="shared" si="35"/>
        <v>2420</v>
      </c>
      <c r="DA20" s="81"/>
      <c r="DB20" s="119">
        <f t="shared" si="36"/>
        <v>204</v>
      </c>
      <c r="DC20" s="81">
        <v>3085</v>
      </c>
      <c r="DD20" s="128">
        <f t="shared" si="37"/>
        <v>275</v>
      </c>
      <c r="DE20" s="129">
        <f t="shared" si="38"/>
        <v>0</v>
      </c>
      <c r="DF20" s="128">
        <f t="shared" si="13"/>
        <v>375</v>
      </c>
      <c r="DG20" s="130">
        <f t="shared" si="14"/>
        <v>608</v>
      </c>
      <c r="DH20" s="130">
        <f t="shared" si="15"/>
        <v>30</v>
      </c>
      <c r="DI20" s="130">
        <f t="shared" si="39"/>
        <v>222</v>
      </c>
      <c r="DJ20" s="130">
        <f t="shared" si="44"/>
        <v>200</v>
      </c>
      <c r="DK20" s="130">
        <f t="shared" si="43"/>
        <v>215</v>
      </c>
      <c r="DL20" s="129">
        <f t="shared" si="40"/>
        <v>1160</v>
      </c>
      <c r="DM20" s="200">
        <f t="shared" si="42"/>
        <v>1575</v>
      </c>
      <c r="DN20" s="63">
        <v>207</v>
      </c>
      <c r="DO20" s="120">
        <v>8179</v>
      </c>
      <c r="DP20" s="122">
        <f t="shared" si="17"/>
        <v>1013</v>
      </c>
      <c r="DQ20" s="223"/>
    </row>
    <row r="21" spans="1:122" s="237" customFormat="1" ht="15.6">
      <c r="A21" s="231">
        <f t="shared" si="18"/>
        <v>46192</v>
      </c>
      <c r="B21" s="4"/>
      <c r="C21" s="4"/>
      <c r="D21" s="4">
        <v>173</v>
      </c>
      <c r="E21" s="4">
        <v>1</v>
      </c>
      <c r="F21" s="4">
        <f t="shared" si="19"/>
        <v>174</v>
      </c>
      <c r="G21" s="4">
        <f t="shared" si="0"/>
        <v>0</v>
      </c>
      <c r="H21" s="4">
        <f t="shared" si="1"/>
        <v>0</v>
      </c>
      <c r="I21" s="4">
        <f t="shared" si="2"/>
        <v>5190</v>
      </c>
      <c r="J21" s="4">
        <f t="shared" si="3"/>
        <v>30</v>
      </c>
      <c r="K21" s="30">
        <f t="shared" si="4"/>
        <v>5220</v>
      </c>
      <c r="L21" s="52">
        <f t="shared" si="5"/>
        <v>1934</v>
      </c>
      <c r="M21" s="30">
        <v>3</v>
      </c>
      <c r="N21" s="4">
        <v>19.2</v>
      </c>
      <c r="O21" s="4">
        <v>19</v>
      </c>
      <c r="P21" s="4">
        <v>102.95</v>
      </c>
      <c r="Q21" s="4">
        <v>5</v>
      </c>
      <c r="R21" s="4">
        <v>0</v>
      </c>
      <c r="S21" s="4">
        <v>6.6</v>
      </c>
      <c r="T21" s="4">
        <v>53</v>
      </c>
      <c r="U21" s="4"/>
      <c r="V21" s="22">
        <f t="shared" si="20"/>
        <v>53</v>
      </c>
      <c r="W21" s="4">
        <v>20.7</v>
      </c>
      <c r="X21" s="4">
        <v>200</v>
      </c>
      <c r="Y21" s="4">
        <f t="shared" si="45"/>
        <v>97.95</v>
      </c>
      <c r="Z21" s="4"/>
      <c r="AA21" s="4"/>
      <c r="AB21" s="4"/>
      <c r="AC21" s="4"/>
      <c r="AD21" s="4"/>
      <c r="AE21" s="4"/>
      <c r="AF21" s="4">
        <v>2.4</v>
      </c>
      <c r="AG21" s="4">
        <v>1.2</v>
      </c>
      <c r="AH21" s="4">
        <v>3</v>
      </c>
      <c r="AI21" s="4">
        <v>22</v>
      </c>
      <c r="AJ21" s="4">
        <f t="shared" si="22"/>
        <v>638</v>
      </c>
      <c r="AK21" s="4">
        <v>120</v>
      </c>
      <c r="AL21" s="4">
        <v>2</v>
      </c>
      <c r="AM21" s="4">
        <v>7.3</v>
      </c>
      <c r="AN21" s="4">
        <v>42</v>
      </c>
      <c r="AO21" s="4">
        <v>159.6</v>
      </c>
      <c r="AP21" s="34"/>
      <c r="AQ21" s="34">
        <v>159.6</v>
      </c>
      <c r="AR21" s="34">
        <f t="shared" si="23"/>
        <v>0</v>
      </c>
      <c r="AS21" s="34">
        <v>351</v>
      </c>
      <c r="AT21" s="4">
        <v>4</v>
      </c>
      <c r="AU21" s="4">
        <v>475</v>
      </c>
      <c r="AV21" s="4"/>
      <c r="AW21" s="232"/>
      <c r="AX21" s="4">
        <v>28.9</v>
      </c>
      <c r="AY21" s="4">
        <v>4.38</v>
      </c>
      <c r="AZ21" s="4">
        <v>5</v>
      </c>
      <c r="BA21" s="4">
        <v>5</v>
      </c>
      <c r="BB21" s="233">
        <v>1400</v>
      </c>
      <c r="BC21" s="233">
        <v>600</v>
      </c>
      <c r="BD21" s="234">
        <f t="shared" si="24"/>
        <v>800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00">
        <f t="shared" si="25"/>
        <v>0</v>
      </c>
      <c r="BO21" s="13">
        <f t="shared" si="6"/>
        <v>4.38</v>
      </c>
      <c r="BP21" s="13">
        <f t="shared" si="7"/>
        <v>5</v>
      </c>
      <c r="BQ21" s="13">
        <f t="shared" si="8"/>
        <v>5</v>
      </c>
      <c r="BR21" s="13">
        <f t="shared" si="9"/>
        <v>1400</v>
      </c>
      <c r="BS21" s="13">
        <f t="shared" si="10"/>
        <v>28.9</v>
      </c>
      <c r="BT21" s="13">
        <f t="shared" si="26"/>
        <v>0</v>
      </c>
      <c r="BU21" s="13">
        <f t="shared" si="27"/>
        <v>475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f t="shared" si="28"/>
        <v>0</v>
      </c>
      <c r="CC21" s="13">
        <v>5.6</v>
      </c>
      <c r="CD21" s="13">
        <v>1400</v>
      </c>
      <c r="CE21" s="13">
        <v>1</v>
      </c>
      <c r="CF21" s="13">
        <v>14.2</v>
      </c>
      <c r="CG21" s="13">
        <v>300</v>
      </c>
      <c r="CH21" s="13">
        <v>123</v>
      </c>
      <c r="CI21" s="13">
        <f t="shared" si="29"/>
        <v>423</v>
      </c>
      <c r="CJ21" s="4">
        <f>1849-94</f>
        <v>1755</v>
      </c>
      <c r="CK21" s="4">
        <f>596-26</f>
        <v>570</v>
      </c>
      <c r="CL21" s="49">
        <f t="shared" si="30"/>
        <v>351</v>
      </c>
      <c r="CM21" s="4">
        <v>114</v>
      </c>
      <c r="CN21" s="4">
        <f t="shared" si="46"/>
        <v>0</v>
      </c>
      <c r="CO21" s="22">
        <f t="shared" si="12"/>
        <v>120</v>
      </c>
      <c r="CP21" s="4">
        <v>0</v>
      </c>
      <c r="CQ21" s="4">
        <v>0</v>
      </c>
      <c r="CR21" s="4">
        <v>250</v>
      </c>
      <c r="CS21" s="4">
        <f t="shared" si="31"/>
        <v>200</v>
      </c>
      <c r="CT21" s="4"/>
      <c r="CU21" s="37">
        <f t="shared" si="32"/>
        <v>3360</v>
      </c>
      <c r="CV21" s="4">
        <v>4365</v>
      </c>
      <c r="CW21" s="119">
        <f t="shared" si="41"/>
        <v>204</v>
      </c>
      <c r="CX21" s="118">
        <f t="shared" si="33"/>
        <v>4365</v>
      </c>
      <c r="CY21" s="118">
        <f t="shared" si="34"/>
        <v>4569</v>
      </c>
      <c r="CZ21" s="119">
        <f t="shared" si="35"/>
        <v>3360</v>
      </c>
      <c r="DA21" s="81"/>
      <c r="DB21" s="119">
        <f t="shared" si="36"/>
        <v>1209</v>
      </c>
      <c r="DC21" s="81">
        <v>2701</v>
      </c>
      <c r="DD21" s="4">
        <f t="shared" si="37"/>
        <v>0</v>
      </c>
      <c r="DE21" s="22">
        <f t="shared" si="38"/>
        <v>120</v>
      </c>
      <c r="DF21" s="4">
        <f t="shared" si="13"/>
        <v>475</v>
      </c>
      <c r="DG21" s="13">
        <f t="shared" si="14"/>
        <v>0</v>
      </c>
      <c r="DH21" s="13">
        <f t="shared" si="15"/>
        <v>0</v>
      </c>
      <c r="DI21" s="13">
        <f t="shared" si="39"/>
        <v>423</v>
      </c>
      <c r="DJ21" s="13">
        <f t="shared" si="44"/>
        <v>200</v>
      </c>
      <c r="DK21" s="13">
        <f t="shared" si="43"/>
        <v>351</v>
      </c>
      <c r="DL21" s="22">
        <f t="shared" si="40"/>
        <v>1132</v>
      </c>
      <c r="DM21" s="20">
        <f t="shared" si="42"/>
        <v>1683</v>
      </c>
      <c r="DN21" s="63">
        <v>1212</v>
      </c>
      <c r="DO21" s="120">
        <v>8913</v>
      </c>
      <c r="DP21" s="235">
        <f t="shared" si="17"/>
        <v>475</v>
      </c>
      <c r="DQ21" s="236"/>
    </row>
    <row r="22" spans="1:122" ht="15.6">
      <c r="A22" s="32">
        <f t="shared" si="18"/>
        <v>46193</v>
      </c>
      <c r="B22" s="10"/>
      <c r="C22" s="4">
        <v>13</v>
      </c>
      <c r="D22" s="4">
        <v>213</v>
      </c>
      <c r="E22" s="4"/>
      <c r="F22" s="4">
        <f t="shared" si="19"/>
        <v>226</v>
      </c>
      <c r="G22" s="4">
        <f t="shared" si="0"/>
        <v>0</v>
      </c>
      <c r="H22" s="4">
        <f t="shared" si="1"/>
        <v>390</v>
      </c>
      <c r="I22" s="4">
        <f t="shared" si="2"/>
        <v>6390</v>
      </c>
      <c r="J22" s="4">
        <f t="shared" si="3"/>
        <v>0</v>
      </c>
      <c r="K22" s="30">
        <f t="shared" si="4"/>
        <v>6780</v>
      </c>
      <c r="L22" s="52">
        <f t="shared" si="5"/>
        <v>2512</v>
      </c>
      <c r="M22" s="150">
        <v>3</v>
      </c>
      <c r="N22" s="123">
        <v>26.2</v>
      </c>
      <c r="O22" s="123">
        <v>19</v>
      </c>
      <c r="P22" s="123">
        <v>136.4</v>
      </c>
      <c r="Q22" s="123">
        <v>4.3499999999999996</v>
      </c>
      <c r="R22" s="123">
        <v>7.3</v>
      </c>
      <c r="S22" s="203">
        <v>6.5</v>
      </c>
      <c r="T22" s="203">
        <v>44</v>
      </c>
      <c r="U22" s="203"/>
      <c r="V22" s="204">
        <f t="shared" si="20"/>
        <v>44</v>
      </c>
      <c r="W22" s="203">
        <v>19.100000000000001</v>
      </c>
      <c r="X22" s="203">
        <v>100</v>
      </c>
      <c r="Y22" s="123">
        <f t="shared" si="45"/>
        <v>124.75000000000001</v>
      </c>
      <c r="Z22" s="144">
        <v>2</v>
      </c>
      <c r="AA22" s="144">
        <v>1.5</v>
      </c>
      <c r="AB22" s="144">
        <v>5</v>
      </c>
      <c r="AC22" s="144">
        <v>16</v>
      </c>
      <c r="AD22" s="144">
        <v>576.91</v>
      </c>
      <c r="AE22" s="144">
        <v>90</v>
      </c>
      <c r="AF22" s="123">
        <v>4.4000000000000004</v>
      </c>
      <c r="AG22" s="123">
        <v>0</v>
      </c>
      <c r="AH22" s="123">
        <v>4</v>
      </c>
      <c r="AI22" s="123">
        <v>19</v>
      </c>
      <c r="AJ22" s="123">
        <f t="shared" si="22"/>
        <v>551</v>
      </c>
      <c r="AK22" s="123">
        <v>85</v>
      </c>
      <c r="AL22" s="144">
        <v>2</v>
      </c>
      <c r="AM22" s="144">
        <v>11</v>
      </c>
      <c r="AN22" s="144">
        <v>58</v>
      </c>
      <c r="AO22" s="144">
        <v>209.2</v>
      </c>
      <c r="AP22" s="187"/>
      <c r="AQ22" s="187">
        <v>209.2</v>
      </c>
      <c r="AR22" s="187">
        <f t="shared" si="23"/>
        <v>0</v>
      </c>
      <c r="AS22" s="187">
        <v>217</v>
      </c>
      <c r="AT22" s="55">
        <v>4</v>
      </c>
      <c r="AU22" s="55">
        <v>281</v>
      </c>
      <c r="AV22" s="55">
        <v>0</v>
      </c>
      <c r="AW22" s="53">
        <v>0</v>
      </c>
      <c r="AX22" s="55">
        <v>18</v>
      </c>
      <c r="AY22" s="55">
        <v>6.16</v>
      </c>
      <c r="AZ22" s="55">
        <v>7</v>
      </c>
      <c r="BA22" s="55">
        <v>7</v>
      </c>
      <c r="BB22" s="84">
        <v>1000</v>
      </c>
      <c r="BC22" s="84">
        <v>500</v>
      </c>
      <c r="BD22" s="85">
        <f t="shared" si="24"/>
        <v>500</v>
      </c>
      <c r="BE22" s="100">
        <v>0</v>
      </c>
      <c r="BF22" s="100">
        <v>0</v>
      </c>
      <c r="BG22" s="100">
        <v>0</v>
      </c>
      <c r="BH22" s="100">
        <v>0</v>
      </c>
      <c r="BI22" s="100">
        <v>0</v>
      </c>
      <c r="BJ22" s="100">
        <v>1</v>
      </c>
      <c r="BK22" s="100">
        <v>18.5</v>
      </c>
      <c r="BL22" s="100">
        <v>159</v>
      </c>
      <c r="BM22" s="100">
        <v>0</v>
      </c>
      <c r="BN22" s="100">
        <f t="shared" si="25"/>
        <v>159</v>
      </c>
      <c r="BO22" s="126">
        <f t="shared" si="6"/>
        <v>6.16</v>
      </c>
      <c r="BP22" s="126">
        <f t="shared" si="7"/>
        <v>7</v>
      </c>
      <c r="BQ22" s="126">
        <f t="shared" si="8"/>
        <v>7</v>
      </c>
      <c r="BR22" s="126">
        <f t="shared" si="9"/>
        <v>1000</v>
      </c>
      <c r="BS22" s="126">
        <f t="shared" si="10"/>
        <v>36.5</v>
      </c>
      <c r="BT22" s="126">
        <f t="shared" si="26"/>
        <v>0</v>
      </c>
      <c r="BU22" s="126">
        <f t="shared" si="27"/>
        <v>440</v>
      </c>
      <c r="BV22" s="77">
        <v>0</v>
      </c>
      <c r="BW22" s="77">
        <v>0</v>
      </c>
      <c r="BX22" s="77">
        <v>1</v>
      </c>
      <c r="BY22" s="77">
        <v>0</v>
      </c>
      <c r="BZ22" s="77">
        <v>0</v>
      </c>
      <c r="CA22" s="77">
        <v>0</v>
      </c>
      <c r="CB22" s="77">
        <f t="shared" si="28"/>
        <v>0</v>
      </c>
      <c r="CC22" s="215">
        <v>4.3</v>
      </c>
      <c r="CD22" s="215">
        <v>1050</v>
      </c>
      <c r="CE22" s="215">
        <v>2</v>
      </c>
      <c r="CF22" s="215">
        <f>4.5+0.9</f>
        <v>5.4</v>
      </c>
      <c r="CG22" s="215">
        <f>26+20</f>
        <v>46</v>
      </c>
      <c r="CH22" s="215">
        <v>97</v>
      </c>
      <c r="CI22" s="215">
        <f t="shared" si="29"/>
        <v>143</v>
      </c>
      <c r="CJ22" s="4">
        <f>1939-108</f>
        <v>1831</v>
      </c>
      <c r="CK22" s="4">
        <f>474-67</f>
        <v>407</v>
      </c>
      <c r="CL22" s="49">
        <f t="shared" si="30"/>
        <v>217</v>
      </c>
      <c r="CM22" s="4">
        <v>50</v>
      </c>
      <c r="CN22" s="4">
        <f t="shared" si="46"/>
        <v>90</v>
      </c>
      <c r="CO22" s="22">
        <f t="shared" si="12"/>
        <v>85</v>
      </c>
      <c r="CP22" s="4"/>
      <c r="CQ22" s="4"/>
      <c r="CR22" s="4">
        <v>300</v>
      </c>
      <c r="CS22" s="4">
        <f t="shared" si="31"/>
        <v>100</v>
      </c>
      <c r="CT22" s="4"/>
      <c r="CU22" s="226">
        <f t="shared" si="32"/>
        <v>3080</v>
      </c>
      <c r="CV22" s="4">
        <v>3339</v>
      </c>
      <c r="CW22" s="119">
        <f t="shared" si="41"/>
        <v>1209</v>
      </c>
      <c r="CX22" s="118">
        <f t="shared" si="33"/>
        <v>3339</v>
      </c>
      <c r="CY22" s="118">
        <f t="shared" si="34"/>
        <v>4548</v>
      </c>
      <c r="CZ22" s="119">
        <f t="shared" si="35"/>
        <v>3080</v>
      </c>
      <c r="DA22" s="81"/>
      <c r="DB22" s="119">
        <f t="shared" si="36"/>
        <v>1468</v>
      </c>
      <c r="DC22" s="81">
        <v>2470</v>
      </c>
      <c r="DD22" s="128">
        <f t="shared" si="37"/>
        <v>90</v>
      </c>
      <c r="DE22" s="129">
        <f t="shared" si="38"/>
        <v>85</v>
      </c>
      <c r="DF22" s="128">
        <f t="shared" si="13"/>
        <v>281</v>
      </c>
      <c r="DG22" s="130">
        <f t="shared" si="14"/>
        <v>159</v>
      </c>
      <c r="DH22" s="130">
        <f t="shared" si="15"/>
        <v>0</v>
      </c>
      <c r="DI22" s="130">
        <f t="shared" si="39"/>
        <v>143</v>
      </c>
      <c r="DJ22" s="130">
        <f t="shared" si="44"/>
        <v>100</v>
      </c>
      <c r="DK22" s="130">
        <f t="shared" si="43"/>
        <v>217</v>
      </c>
      <c r="DL22" s="129">
        <f t="shared" si="40"/>
        <v>1395</v>
      </c>
      <c r="DM22" s="200">
        <f t="shared" si="42"/>
        <v>1712</v>
      </c>
      <c r="DN22" s="63">
        <v>1471</v>
      </c>
      <c r="DO22" s="120">
        <v>9523</v>
      </c>
      <c r="DP22" s="122">
        <f t="shared" si="17"/>
        <v>440</v>
      </c>
      <c r="DQ22" s="223"/>
    </row>
    <row r="23" spans="1:122" ht="15.6">
      <c r="A23" s="32">
        <f t="shared" si="18"/>
        <v>46194</v>
      </c>
      <c r="B23" s="10"/>
      <c r="C23" s="4"/>
      <c r="D23" s="4"/>
      <c r="E23" s="4"/>
      <c r="F23" s="4">
        <f t="shared" si="19"/>
        <v>0</v>
      </c>
      <c r="G23" s="11">
        <f t="shared" si="0"/>
        <v>0</v>
      </c>
      <c r="H23" s="4">
        <f t="shared" si="1"/>
        <v>0</v>
      </c>
      <c r="I23" s="4">
        <f t="shared" si="2"/>
        <v>0</v>
      </c>
      <c r="J23" s="4">
        <f t="shared" si="3"/>
        <v>0</v>
      </c>
      <c r="K23" s="30">
        <f t="shared" si="4"/>
        <v>0</v>
      </c>
      <c r="L23" s="52">
        <f t="shared" si="5"/>
        <v>0</v>
      </c>
      <c r="M23" s="150"/>
      <c r="N23" s="123"/>
      <c r="O23" s="123"/>
      <c r="P23" s="123"/>
      <c r="Q23" s="123"/>
      <c r="R23" s="123"/>
      <c r="S23" s="203"/>
      <c r="T23" s="203"/>
      <c r="U23" s="203"/>
      <c r="V23" s="204">
        <f t="shared" si="20"/>
        <v>0</v>
      </c>
      <c r="W23" s="203"/>
      <c r="X23" s="203"/>
      <c r="Y23" s="123">
        <f t="shared" si="45"/>
        <v>0</v>
      </c>
      <c r="Z23" s="144"/>
      <c r="AA23" s="144"/>
      <c r="AB23" s="144"/>
      <c r="AC23" s="144"/>
      <c r="AD23" s="144"/>
      <c r="AE23" s="144"/>
      <c r="AF23" s="123"/>
      <c r="AG23" s="123"/>
      <c r="AH23" s="123"/>
      <c r="AI23" s="123"/>
      <c r="AJ23" s="123">
        <f t="shared" si="22"/>
        <v>0</v>
      </c>
      <c r="AK23" s="123"/>
      <c r="AL23" s="144"/>
      <c r="AM23" s="144"/>
      <c r="AN23" s="144"/>
      <c r="AO23" s="144"/>
      <c r="AP23" s="187"/>
      <c r="AQ23" s="187"/>
      <c r="AR23" s="187">
        <f t="shared" si="23"/>
        <v>0</v>
      </c>
      <c r="AS23" s="187"/>
      <c r="AT23" s="55"/>
      <c r="AU23" s="55"/>
      <c r="AV23" s="55"/>
      <c r="AW23" s="53"/>
      <c r="AX23" s="55"/>
      <c r="AY23" s="55"/>
      <c r="AZ23" s="55"/>
      <c r="BA23" s="55"/>
      <c r="BB23" s="84"/>
      <c r="BC23" s="84"/>
      <c r="BD23" s="85">
        <f t="shared" si="24"/>
        <v>0</v>
      </c>
      <c r="BE23" s="100"/>
      <c r="BF23" s="100"/>
      <c r="BG23" s="100"/>
      <c r="BH23" s="100"/>
      <c r="BI23" s="100"/>
      <c r="BJ23" s="100"/>
      <c r="BK23" s="100"/>
      <c r="BL23" s="100"/>
      <c r="BM23" s="100"/>
      <c r="BN23" s="100">
        <f t="shared" si="25"/>
        <v>0</v>
      </c>
      <c r="BO23" s="126">
        <f t="shared" si="6"/>
        <v>0</v>
      </c>
      <c r="BP23" s="126">
        <f t="shared" si="7"/>
        <v>0</v>
      </c>
      <c r="BQ23" s="126">
        <f t="shared" si="8"/>
        <v>0</v>
      </c>
      <c r="BR23" s="126">
        <f t="shared" si="9"/>
        <v>0</v>
      </c>
      <c r="BS23" s="126">
        <f t="shared" si="10"/>
        <v>0</v>
      </c>
      <c r="BT23" s="126">
        <f t="shared" si="26"/>
        <v>0</v>
      </c>
      <c r="BU23" s="126">
        <f t="shared" si="27"/>
        <v>0</v>
      </c>
      <c r="BV23" s="77"/>
      <c r="BW23" s="77"/>
      <c r="BX23" s="77"/>
      <c r="BY23" s="77"/>
      <c r="BZ23" s="77"/>
      <c r="CA23" s="77"/>
      <c r="CB23" s="77">
        <f t="shared" si="28"/>
        <v>0</v>
      </c>
      <c r="CC23" s="215"/>
      <c r="CD23" s="215"/>
      <c r="CE23" s="215"/>
      <c r="CF23" s="215"/>
      <c r="CG23" s="215"/>
      <c r="CH23" s="215"/>
      <c r="CI23" s="215">
        <f t="shared" si="29"/>
        <v>0</v>
      </c>
      <c r="CJ23" s="4"/>
      <c r="CK23" s="4"/>
      <c r="CL23" s="49">
        <f t="shared" si="30"/>
        <v>0</v>
      </c>
      <c r="CM23" s="4"/>
      <c r="CN23" s="4">
        <f t="shared" si="46"/>
        <v>0</v>
      </c>
      <c r="CO23" s="22">
        <f t="shared" si="12"/>
        <v>0</v>
      </c>
      <c r="CP23" s="4"/>
      <c r="CQ23" s="4"/>
      <c r="CR23" s="4"/>
      <c r="CS23" s="4">
        <f t="shared" si="31"/>
        <v>0</v>
      </c>
      <c r="CT23" s="4"/>
      <c r="CU23" s="226">
        <f t="shared" si="32"/>
        <v>0</v>
      </c>
      <c r="CV23" s="4"/>
      <c r="CW23" s="119">
        <f t="shared" si="41"/>
        <v>1468</v>
      </c>
      <c r="CX23" s="118">
        <f t="shared" si="33"/>
        <v>0</v>
      </c>
      <c r="CY23" s="118">
        <f t="shared" si="34"/>
        <v>1468</v>
      </c>
      <c r="CZ23" s="119">
        <f t="shared" si="35"/>
        <v>0</v>
      </c>
      <c r="DA23" s="81"/>
      <c r="DB23" s="119">
        <f t="shared" si="36"/>
        <v>1468</v>
      </c>
      <c r="DC23" s="81"/>
      <c r="DD23" s="128">
        <f t="shared" si="37"/>
        <v>0</v>
      </c>
      <c r="DE23" s="129">
        <f t="shared" si="38"/>
        <v>0</v>
      </c>
      <c r="DF23" s="128">
        <f t="shared" si="13"/>
        <v>0</v>
      </c>
      <c r="DG23" s="130">
        <f t="shared" si="14"/>
        <v>0</v>
      </c>
      <c r="DH23" s="130">
        <f t="shared" si="15"/>
        <v>0</v>
      </c>
      <c r="DI23" s="130">
        <f t="shared" si="39"/>
        <v>0</v>
      </c>
      <c r="DJ23" s="130">
        <f t="shared" si="44"/>
        <v>0</v>
      </c>
      <c r="DK23" s="130">
        <f t="shared" si="43"/>
        <v>0</v>
      </c>
      <c r="DL23" s="129">
        <f t="shared" si="40"/>
        <v>0</v>
      </c>
      <c r="DM23" s="200">
        <f t="shared" si="42"/>
        <v>0</v>
      </c>
      <c r="DO23" s="120"/>
      <c r="DP23" s="122">
        <f t="shared" si="17"/>
        <v>0</v>
      </c>
      <c r="DQ23" s="223"/>
    </row>
    <row r="24" spans="1:122" ht="15.6">
      <c r="A24" s="32">
        <f t="shared" si="18"/>
        <v>46195</v>
      </c>
      <c r="B24" s="10"/>
      <c r="C24" s="4">
        <v>56</v>
      </c>
      <c r="D24" s="4">
        <v>178</v>
      </c>
      <c r="E24" s="4"/>
      <c r="F24" s="4">
        <f t="shared" si="19"/>
        <v>234</v>
      </c>
      <c r="G24" s="4">
        <f>B24*30</f>
        <v>0</v>
      </c>
      <c r="H24" s="4">
        <f t="shared" si="1"/>
        <v>1680</v>
      </c>
      <c r="I24" s="4">
        <f t="shared" si="2"/>
        <v>5340</v>
      </c>
      <c r="J24" s="4">
        <f t="shared" si="3"/>
        <v>0</v>
      </c>
      <c r="K24" s="30">
        <f t="shared" si="4"/>
        <v>7020</v>
      </c>
      <c r="L24" s="52">
        <f t="shared" si="5"/>
        <v>2600</v>
      </c>
      <c r="M24" s="150">
        <v>3</v>
      </c>
      <c r="N24" s="123">
        <v>27.2</v>
      </c>
      <c r="O24" s="123">
        <v>20</v>
      </c>
      <c r="P24" s="123">
        <v>156</v>
      </c>
      <c r="Q24" s="123">
        <v>7.4</v>
      </c>
      <c r="R24" s="123">
        <v>26.65</v>
      </c>
      <c r="S24" s="203">
        <v>6.5</v>
      </c>
      <c r="T24" s="203">
        <v>45</v>
      </c>
      <c r="U24" s="203">
        <v>5</v>
      </c>
      <c r="V24" s="204">
        <f t="shared" si="20"/>
        <v>50</v>
      </c>
      <c r="W24" s="203">
        <v>21.9</v>
      </c>
      <c r="X24" s="203">
        <v>200</v>
      </c>
      <c r="Y24" s="123">
        <f t="shared" si="45"/>
        <v>121.94999999999999</v>
      </c>
      <c r="Z24" s="144">
        <v>2.4</v>
      </c>
      <c r="AA24" s="144">
        <v>5.2</v>
      </c>
      <c r="AB24" s="144">
        <v>7</v>
      </c>
      <c r="AC24" s="144">
        <v>59</v>
      </c>
      <c r="AD24" s="144">
        <v>2145.6799999999998</v>
      </c>
      <c r="AE24" s="144">
        <v>420</v>
      </c>
      <c r="AF24" s="123">
        <v>1.5</v>
      </c>
      <c r="AG24" s="123">
        <v>1.5</v>
      </c>
      <c r="AH24" s="123">
        <v>7</v>
      </c>
      <c r="AI24" s="123">
        <v>20</v>
      </c>
      <c r="AJ24" s="123">
        <f t="shared" si="22"/>
        <v>580</v>
      </c>
      <c r="AK24" s="123">
        <v>105</v>
      </c>
      <c r="AL24" s="144">
        <v>2</v>
      </c>
      <c r="AM24" s="144">
        <v>10.7</v>
      </c>
      <c r="AN24" s="144">
        <v>43</v>
      </c>
      <c r="AO24" s="144">
        <v>163.6</v>
      </c>
      <c r="AP24" s="187"/>
      <c r="AQ24" s="187">
        <v>163.6</v>
      </c>
      <c r="AR24" s="187">
        <f t="shared" si="23"/>
        <v>0</v>
      </c>
      <c r="AS24" s="187">
        <v>550</v>
      </c>
      <c r="AT24" s="55">
        <v>4</v>
      </c>
      <c r="AU24" s="55">
        <v>325</v>
      </c>
      <c r="AV24" s="55">
        <v>0</v>
      </c>
      <c r="AW24" s="53">
        <v>0</v>
      </c>
      <c r="AX24" s="55">
        <v>19.8</v>
      </c>
      <c r="AY24" s="55">
        <v>5.41</v>
      </c>
      <c r="AZ24" s="55">
        <v>6</v>
      </c>
      <c r="BA24" s="55">
        <v>7</v>
      </c>
      <c r="BB24" s="84">
        <v>800</v>
      </c>
      <c r="BC24" s="84">
        <v>400</v>
      </c>
      <c r="BD24" s="85">
        <f t="shared" si="24"/>
        <v>400</v>
      </c>
      <c r="BE24" s="100">
        <v>0</v>
      </c>
      <c r="BF24" s="100">
        <v>0</v>
      </c>
      <c r="BG24" s="100">
        <v>0</v>
      </c>
      <c r="BH24" s="100">
        <v>0</v>
      </c>
      <c r="BI24" s="100">
        <v>0</v>
      </c>
      <c r="BJ24" s="100">
        <v>0</v>
      </c>
      <c r="BK24" s="100">
        <v>0</v>
      </c>
      <c r="BL24" s="100">
        <v>0</v>
      </c>
      <c r="BM24" s="100">
        <v>0</v>
      </c>
      <c r="BN24" s="100">
        <f t="shared" si="25"/>
        <v>0</v>
      </c>
      <c r="BO24" s="126">
        <f t="shared" si="6"/>
        <v>5.41</v>
      </c>
      <c r="BP24" s="126">
        <f t="shared" si="7"/>
        <v>6</v>
      </c>
      <c r="BQ24" s="126">
        <f t="shared" si="8"/>
        <v>7</v>
      </c>
      <c r="BR24" s="126">
        <f t="shared" si="9"/>
        <v>800</v>
      </c>
      <c r="BS24" s="126">
        <f t="shared" si="10"/>
        <v>19.8</v>
      </c>
      <c r="BT24" s="126">
        <f t="shared" si="26"/>
        <v>0</v>
      </c>
      <c r="BU24" s="126">
        <f t="shared" si="27"/>
        <v>325</v>
      </c>
      <c r="BV24" s="77">
        <v>4.5</v>
      </c>
      <c r="BW24" s="77">
        <v>350</v>
      </c>
      <c r="BX24" s="77">
        <v>1</v>
      </c>
      <c r="BY24" s="77">
        <v>8.6999999999999993</v>
      </c>
      <c r="BZ24" s="77">
        <v>96</v>
      </c>
      <c r="CA24" s="77">
        <v>70</v>
      </c>
      <c r="CB24" s="77">
        <f t="shared" si="28"/>
        <v>166</v>
      </c>
      <c r="CC24" s="215">
        <v>4.5</v>
      </c>
      <c r="CD24" s="215">
        <v>1000</v>
      </c>
      <c r="CE24" s="215">
        <v>1</v>
      </c>
      <c r="CF24" s="215">
        <v>7.7</v>
      </c>
      <c r="CG24" s="215">
        <v>157</v>
      </c>
      <c r="CH24" s="215">
        <v>92</v>
      </c>
      <c r="CI24" s="215">
        <f t="shared" si="29"/>
        <v>249</v>
      </c>
      <c r="CJ24" s="4">
        <f>750-350</f>
        <v>400</v>
      </c>
      <c r="CK24" s="4">
        <f>373-175</f>
        <v>198</v>
      </c>
      <c r="CL24" s="49">
        <f t="shared" si="30"/>
        <v>550</v>
      </c>
      <c r="CM24" s="4">
        <v>132</v>
      </c>
      <c r="CN24" s="4">
        <f t="shared" si="46"/>
        <v>420</v>
      </c>
      <c r="CO24" s="22">
        <f t="shared" si="12"/>
        <v>105</v>
      </c>
      <c r="CP24" s="4"/>
      <c r="CQ24" s="4">
        <v>300</v>
      </c>
      <c r="CR24" s="4">
        <v>117</v>
      </c>
      <c r="CS24" s="4">
        <f t="shared" si="31"/>
        <v>200</v>
      </c>
      <c r="CT24" s="4"/>
      <c r="CU24" s="226">
        <f t="shared" si="32"/>
        <v>2422</v>
      </c>
      <c r="CV24" s="4">
        <v>2000</v>
      </c>
      <c r="CW24" s="119">
        <f t="shared" si="41"/>
        <v>1468</v>
      </c>
      <c r="CX24" s="118">
        <f t="shared" si="33"/>
        <v>2000</v>
      </c>
      <c r="CY24" s="118">
        <f t="shared" si="34"/>
        <v>3468</v>
      </c>
      <c r="CZ24" s="119">
        <f t="shared" si="35"/>
        <v>2422</v>
      </c>
      <c r="DA24" s="81"/>
      <c r="DB24" s="119">
        <f t="shared" si="36"/>
        <v>1046</v>
      </c>
      <c r="DC24" s="81">
        <v>3526</v>
      </c>
      <c r="DD24" s="128">
        <f t="shared" si="37"/>
        <v>420</v>
      </c>
      <c r="DE24" s="129">
        <f t="shared" si="38"/>
        <v>105</v>
      </c>
      <c r="DF24" s="128">
        <f t="shared" si="13"/>
        <v>325</v>
      </c>
      <c r="DG24" s="130">
        <f t="shared" si="14"/>
        <v>0</v>
      </c>
      <c r="DH24" s="130">
        <f t="shared" si="15"/>
        <v>166</v>
      </c>
      <c r="DI24" s="130">
        <f t="shared" si="39"/>
        <v>249</v>
      </c>
      <c r="DJ24" s="130">
        <f t="shared" si="44"/>
        <v>200</v>
      </c>
      <c r="DK24" s="130">
        <f t="shared" si="43"/>
        <v>550</v>
      </c>
      <c r="DL24" s="129">
        <f t="shared" si="40"/>
        <v>1511</v>
      </c>
      <c r="DM24" s="200">
        <f t="shared" si="42"/>
        <v>2261</v>
      </c>
      <c r="DN24" s="63">
        <v>1046</v>
      </c>
      <c r="DO24" s="120">
        <v>8419</v>
      </c>
      <c r="DP24" s="122">
        <f t="shared" si="17"/>
        <v>491</v>
      </c>
      <c r="DQ24" s="223"/>
    </row>
    <row r="25" spans="1:122" ht="18">
      <c r="A25" s="32">
        <f t="shared" si="18"/>
        <v>46196</v>
      </c>
      <c r="B25" s="34">
        <v>23</v>
      </c>
      <c r="C25" s="4">
        <v>76</v>
      </c>
      <c r="D25" s="4">
        <v>33</v>
      </c>
      <c r="E25" s="4"/>
      <c r="F25" s="4">
        <f t="shared" si="19"/>
        <v>132</v>
      </c>
      <c r="G25" s="4">
        <f t="shared" si="0"/>
        <v>690</v>
      </c>
      <c r="H25" s="4">
        <f t="shared" si="1"/>
        <v>2280</v>
      </c>
      <c r="I25" s="4">
        <f t="shared" si="2"/>
        <v>990</v>
      </c>
      <c r="J25" s="4">
        <f t="shared" si="3"/>
        <v>0</v>
      </c>
      <c r="K25" s="30">
        <f t="shared" si="4"/>
        <v>3960</v>
      </c>
      <c r="L25" s="52">
        <f t="shared" si="5"/>
        <v>1467</v>
      </c>
      <c r="M25" s="150">
        <v>3</v>
      </c>
      <c r="N25" s="123">
        <v>20.5</v>
      </c>
      <c r="O25" s="123">
        <v>19</v>
      </c>
      <c r="P25" s="123">
        <v>126.55</v>
      </c>
      <c r="Q25" s="123">
        <v>11.35</v>
      </c>
      <c r="R25" s="123">
        <v>15.6</v>
      </c>
      <c r="S25" s="203">
        <v>4.2</v>
      </c>
      <c r="T25" s="203">
        <v>33</v>
      </c>
      <c r="U25" s="203">
        <v>1</v>
      </c>
      <c r="V25" s="204">
        <f t="shared" si="20"/>
        <v>34</v>
      </c>
      <c r="W25" s="203">
        <v>14.8</v>
      </c>
      <c r="X25" s="203">
        <v>251</v>
      </c>
      <c r="Y25" s="123">
        <f t="shared" si="45"/>
        <v>99.600000000000009</v>
      </c>
      <c r="Z25" s="144">
        <v>0</v>
      </c>
      <c r="AA25" s="144">
        <v>4.8</v>
      </c>
      <c r="AB25" s="144">
        <v>7</v>
      </c>
      <c r="AC25" s="144">
        <v>56</v>
      </c>
      <c r="AD25" s="144">
        <v>1850.6</v>
      </c>
      <c r="AE25" s="144">
        <v>170</v>
      </c>
      <c r="AF25" s="123">
        <v>0</v>
      </c>
      <c r="AG25" s="123">
        <v>2.8</v>
      </c>
      <c r="AH25" s="123">
        <v>7</v>
      </c>
      <c r="AI25" s="123">
        <v>24</v>
      </c>
      <c r="AJ25" s="123">
        <f t="shared" si="22"/>
        <v>696</v>
      </c>
      <c r="AK25" s="123">
        <v>120</v>
      </c>
      <c r="AL25" s="144">
        <v>2</v>
      </c>
      <c r="AM25" s="144">
        <v>6.5</v>
      </c>
      <c r="AN25" s="144">
        <v>28</v>
      </c>
      <c r="AO25" s="144">
        <v>106.3</v>
      </c>
      <c r="AP25" s="187"/>
      <c r="AQ25" s="187">
        <v>106.3</v>
      </c>
      <c r="AR25" s="187">
        <f t="shared" si="23"/>
        <v>0</v>
      </c>
      <c r="AS25" s="187">
        <v>350</v>
      </c>
      <c r="AT25" s="55">
        <v>5</v>
      </c>
      <c r="AU25" s="55">
        <v>277</v>
      </c>
      <c r="AV25" s="55">
        <v>0</v>
      </c>
      <c r="AW25" s="55"/>
      <c r="AX25" s="55">
        <v>20.100000000000001</v>
      </c>
      <c r="AY25" s="55">
        <v>5.24</v>
      </c>
      <c r="AZ25" s="55">
        <v>5</v>
      </c>
      <c r="BA25" s="55">
        <v>5</v>
      </c>
      <c r="BB25" s="181">
        <v>850</v>
      </c>
      <c r="BC25" s="84">
        <v>450</v>
      </c>
      <c r="BD25" s="85">
        <f t="shared" si="24"/>
        <v>400</v>
      </c>
      <c r="BE25" s="100">
        <v>0</v>
      </c>
      <c r="BF25" s="100">
        <v>0</v>
      </c>
      <c r="BG25" s="100">
        <v>0</v>
      </c>
      <c r="BH25" s="100">
        <v>0</v>
      </c>
      <c r="BI25" s="100"/>
      <c r="BJ25" s="100">
        <v>0</v>
      </c>
      <c r="BK25" s="100">
        <v>0</v>
      </c>
      <c r="BL25" s="100"/>
      <c r="BM25" s="100"/>
      <c r="BN25" s="100">
        <f t="shared" si="25"/>
        <v>0</v>
      </c>
      <c r="BO25" s="126">
        <f t="shared" si="6"/>
        <v>5.24</v>
      </c>
      <c r="BP25" s="126">
        <f t="shared" si="7"/>
        <v>5</v>
      </c>
      <c r="BQ25" s="126">
        <f t="shared" si="8"/>
        <v>5</v>
      </c>
      <c r="BR25" s="126">
        <f t="shared" si="9"/>
        <v>850</v>
      </c>
      <c r="BS25" s="126">
        <f t="shared" si="10"/>
        <v>20.100000000000001</v>
      </c>
      <c r="BT25" s="126">
        <f t="shared" si="26"/>
        <v>0</v>
      </c>
      <c r="BU25" s="126">
        <f t="shared" si="27"/>
        <v>277</v>
      </c>
      <c r="BV25" s="77">
        <v>6.8</v>
      </c>
      <c r="BW25" s="77">
        <v>800</v>
      </c>
      <c r="BX25" s="77">
        <v>1</v>
      </c>
      <c r="BY25" s="77">
        <v>8.6999999999999993</v>
      </c>
      <c r="BZ25" s="77">
        <v>62</v>
      </c>
      <c r="CA25" s="77">
        <v>50</v>
      </c>
      <c r="CB25" s="77">
        <f t="shared" si="28"/>
        <v>112</v>
      </c>
      <c r="CC25" s="215">
        <v>2.8</v>
      </c>
      <c r="CD25" s="215">
        <v>500</v>
      </c>
      <c r="CE25" s="215">
        <v>1</v>
      </c>
      <c r="CF25" s="215">
        <v>7.8</v>
      </c>
      <c r="CG25" s="215">
        <v>111</v>
      </c>
      <c r="CH25" s="215">
        <v>50</v>
      </c>
      <c r="CI25" s="215">
        <f t="shared" si="29"/>
        <v>161</v>
      </c>
      <c r="CJ25" s="4">
        <f>2869-164</f>
        <v>2705</v>
      </c>
      <c r="CK25" s="4">
        <f>601-126</f>
        <v>475</v>
      </c>
      <c r="CL25" s="49">
        <f t="shared" si="30"/>
        <v>350</v>
      </c>
      <c r="CM25" s="4">
        <v>100</v>
      </c>
      <c r="CN25" s="4">
        <f t="shared" si="46"/>
        <v>170</v>
      </c>
      <c r="CO25" s="22">
        <f t="shared" si="12"/>
        <v>120</v>
      </c>
      <c r="CP25" s="4"/>
      <c r="CQ25" s="4">
        <v>0</v>
      </c>
      <c r="CR25" s="4">
        <v>500</v>
      </c>
      <c r="CS25" s="4">
        <f t="shared" si="31"/>
        <v>251</v>
      </c>
      <c r="CT25" s="4"/>
      <c r="CU25" s="226">
        <f t="shared" si="32"/>
        <v>4671</v>
      </c>
      <c r="CV25" s="4">
        <v>4069</v>
      </c>
      <c r="CW25" s="119">
        <f t="shared" si="41"/>
        <v>1046</v>
      </c>
      <c r="CX25" s="118">
        <f t="shared" si="33"/>
        <v>4069</v>
      </c>
      <c r="CY25" s="118">
        <f t="shared" si="34"/>
        <v>5115</v>
      </c>
      <c r="CZ25" s="119">
        <f t="shared" si="35"/>
        <v>4671</v>
      </c>
      <c r="DA25" s="81"/>
      <c r="DB25" s="119">
        <f t="shared" si="36"/>
        <v>444</v>
      </c>
      <c r="DC25" s="81">
        <v>2899</v>
      </c>
      <c r="DD25" s="128">
        <f t="shared" si="37"/>
        <v>170</v>
      </c>
      <c r="DE25" s="129">
        <f t="shared" si="38"/>
        <v>120</v>
      </c>
      <c r="DF25" s="128">
        <f t="shared" si="13"/>
        <v>277</v>
      </c>
      <c r="DG25" s="130">
        <f t="shared" si="14"/>
        <v>0</v>
      </c>
      <c r="DH25" s="130">
        <f t="shared" si="15"/>
        <v>112</v>
      </c>
      <c r="DI25" s="130">
        <f t="shared" si="39"/>
        <v>161</v>
      </c>
      <c r="DJ25" s="130">
        <f t="shared" si="44"/>
        <v>251</v>
      </c>
      <c r="DK25" s="130">
        <f t="shared" si="43"/>
        <v>350</v>
      </c>
      <c r="DL25" s="129">
        <f t="shared" si="40"/>
        <v>1458</v>
      </c>
      <c r="DM25" s="200">
        <f t="shared" si="42"/>
        <v>2059</v>
      </c>
      <c r="DO25" s="120">
        <v>10191</v>
      </c>
      <c r="DP25" s="122">
        <f t="shared" si="17"/>
        <v>389</v>
      </c>
      <c r="DQ25" s="223"/>
    </row>
    <row r="26" spans="1:122" ht="18">
      <c r="A26" s="32">
        <f t="shared" si="18"/>
        <v>46197</v>
      </c>
      <c r="B26" s="10">
        <v>115</v>
      </c>
      <c r="C26" s="4">
        <v>41</v>
      </c>
      <c r="D26" s="4">
        <v>1</v>
      </c>
      <c r="E26" s="4">
        <v>13</v>
      </c>
      <c r="F26" s="4">
        <f t="shared" si="19"/>
        <v>170</v>
      </c>
      <c r="G26" s="4">
        <f t="shared" si="0"/>
        <v>3450</v>
      </c>
      <c r="H26" s="4">
        <f t="shared" si="1"/>
        <v>1230</v>
      </c>
      <c r="I26" s="4">
        <f t="shared" si="2"/>
        <v>30</v>
      </c>
      <c r="J26" s="4">
        <f t="shared" si="3"/>
        <v>390</v>
      </c>
      <c r="K26" s="30">
        <f t="shared" si="4"/>
        <v>5100</v>
      </c>
      <c r="L26" s="52">
        <f t="shared" si="5"/>
        <v>1889</v>
      </c>
      <c r="M26" s="150">
        <v>3</v>
      </c>
      <c r="N26" s="123">
        <v>25.1</v>
      </c>
      <c r="O26" s="123">
        <v>23</v>
      </c>
      <c r="P26" s="123">
        <v>169.55</v>
      </c>
      <c r="Q26" s="123">
        <v>26.1</v>
      </c>
      <c r="R26" s="123">
        <v>13</v>
      </c>
      <c r="S26" s="203">
        <v>4.7</v>
      </c>
      <c r="T26" s="203"/>
      <c r="U26" s="203">
        <v>12</v>
      </c>
      <c r="V26" s="204">
        <f t="shared" si="20"/>
        <v>12</v>
      </c>
      <c r="W26" s="203">
        <v>15.5</v>
      </c>
      <c r="X26" s="203">
        <v>925</v>
      </c>
      <c r="Y26" s="123">
        <f t="shared" si="45"/>
        <v>130.45000000000002</v>
      </c>
      <c r="Z26" s="144">
        <v>0</v>
      </c>
      <c r="AA26" s="144">
        <v>3.3</v>
      </c>
      <c r="AB26" s="144">
        <v>7</v>
      </c>
      <c r="AC26" s="144">
        <v>40</v>
      </c>
      <c r="AD26" s="144">
        <v>1324.45</v>
      </c>
      <c r="AE26" s="144">
        <v>130</v>
      </c>
      <c r="AF26" s="123">
        <v>0</v>
      </c>
      <c r="AG26" s="123">
        <v>5.9</v>
      </c>
      <c r="AH26" s="123">
        <v>9</v>
      </c>
      <c r="AI26" s="123">
        <v>36</v>
      </c>
      <c r="AJ26" s="123">
        <f t="shared" si="22"/>
        <v>1044</v>
      </c>
      <c r="AK26" s="123">
        <v>250</v>
      </c>
      <c r="AL26" s="144">
        <v>3</v>
      </c>
      <c r="AM26" s="144">
        <v>8.1999999999999993</v>
      </c>
      <c r="AN26" s="144">
        <v>51</v>
      </c>
      <c r="AO26" s="144">
        <v>161</v>
      </c>
      <c r="AP26" s="187"/>
      <c r="AQ26" s="187">
        <v>161</v>
      </c>
      <c r="AR26" s="187">
        <f t="shared" si="23"/>
        <v>0</v>
      </c>
      <c r="AS26" s="187">
        <v>279</v>
      </c>
      <c r="AT26" s="55">
        <v>4</v>
      </c>
      <c r="AU26" s="55">
        <v>372</v>
      </c>
      <c r="AV26" s="55"/>
      <c r="AW26" s="55"/>
      <c r="AX26" s="55">
        <v>30.5</v>
      </c>
      <c r="AY26" s="55">
        <v>6.34</v>
      </c>
      <c r="AZ26" s="55">
        <v>7</v>
      </c>
      <c r="BA26" s="55">
        <v>8</v>
      </c>
      <c r="BB26" s="181">
        <v>1100</v>
      </c>
      <c r="BC26" s="181">
        <v>600</v>
      </c>
      <c r="BD26" s="85">
        <f t="shared" si="24"/>
        <v>500</v>
      </c>
      <c r="BE26" s="100">
        <v>2</v>
      </c>
      <c r="BF26" s="100">
        <v>4.2</v>
      </c>
      <c r="BG26" s="100">
        <v>600</v>
      </c>
      <c r="BH26" s="100">
        <v>400</v>
      </c>
      <c r="BI26" s="100">
        <v>200</v>
      </c>
      <c r="BJ26" s="100">
        <v>2</v>
      </c>
      <c r="BK26" s="100">
        <v>16.899999999999999</v>
      </c>
      <c r="BL26" s="100">
        <v>116</v>
      </c>
      <c r="BM26" s="100">
        <v>296</v>
      </c>
      <c r="BN26" s="100">
        <f t="shared" si="25"/>
        <v>412</v>
      </c>
      <c r="BO26" s="126">
        <f t="shared" si="6"/>
        <v>8.34</v>
      </c>
      <c r="BP26" s="126">
        <f t="shared" si="7"/>
        <v>9</v>
      </c>
      <c r="BQ26" s="126">
        <f t="shared" si="8"/>
        <v>12.2</v>
      </c>
      <c r="BR26" s="126">
        <f t="shared" si="9"/>
        <v>1700</v>
      </c>
      <c r="BS26" s="126">
        <f t="shared" si="10"/>
        <v>47.4</v>
      </c>
      <c r="BT26" s="126">
        <f t="shared" si="26"/>
        <v>296</v>
      </c>
      <c r="BU26" s="126">
        <f t="shared" si="27"/>
        <v>784</v>
      </c>
      <c r="BV26" s="77">
        <v>1.4</v>
      </c>
      <c r="BW26" s="77">
        <v>200</v>
      </c>
      <c r="BX26" s="77">
        <v>1</v>
      </c>
      <c r="BY26" s="77">
        <v>3.5</v>
      </c>
      <c r="BZ26" s="77">
        <v>23</v>
      </c>
      <c r="CA26" s="77">
        <v>15</v>
      </c>
      <c r="CB26" s="77">
        <f t="shared" si="28"/>
        <v>38</v>
      </c>
      <c r="CC26" s="215">
        <v>4.2</v>
      </c>
      <c r="CD26" s="215">
        <v>1275</v>
      </c>
      <c r="CE26" s="215">
        <v>1</v>
      </c>
      <c r="CF26" s="215">
        <v>6</v>
      </c>
      <c r="CG26" s="215">
        <v>180</v>
      </c>
      <c r="CH26" s="215">
        <v>0</v>
      </c>
      <c r="CI26" s="215">
        <f t="shared" si="29"/>
        <v>180</v>
      </c>
      <c r="CJ26" s="4">
        <f>696-184</f>
        <v>512</v>
      </c>
      <c r="CK26" s="4">
        <f>471-165</f>
        <v>306</v>
      </c>
      <c r="CL26" s="49">
        <f t="shared" si="30"/>
        <v>279</v>
      </c>
      <c r="CM26" s="4">
        <f>274-45</f>
        <v>229</v>
      </c>
      <c r="CN26" s="4">
        <f t="shared" si="46"/>
        <v>130</v>
      </c>
      <c r="CO26" s="22">
        <f t="shared" si="12"/>
        <v>250</v>
      </c>
      <c r="CP26" s="4">
        <f>711-31</f>
        <v>680</v>
      </c>
      <c r="CQ26" s="4">
        <v>0</v>
      </c>
      <c r="CR26" s="4">
        <v>180</v>
      </c>
      <c r="CS26" s="4">
        <f t="shared" si="31"/>
        <v>925</v>
      </c>
      <c r="CT26" s="4"/>
      <c r="CU26" s="226">
        <f t="shared" si="32"/>
        <v>3491</v>
      </c>
      <c r="CV26" s="4">
        <v>3671</v>
      </c>
      <c r="CW26" s="119">
        <f t="shared" si="41"/>
        <v>444</v>
      </c>
      <c r="CX26" s="118">
        <f t="shared" si="33"/>
        <v>3671</v>
      </c>
      <c r="CY26" s="118">
        <f t="shared" si="34"/>
        <v>4115</v>
      </c>
      <c r="CZ26" s="119">
        <f t="shared" si="35"/>
        <v>3491</v>
      </c>
      <c r="DA26" s="81"/>
      <c r="DB26" s="119">
        <f t="shared" si="36"/>
        <v>624</v>
      </c>
      <c r="DC26" s="81">
        <v>4730</v>
      </c>
      <c r="DD26" s="128">
        <f t="shared" si="37"/>
        <v>130</v>
      </c>
      <c r="DE26" s="129">
        <f t="shared" si="38"/>
        <v>250</v>
      </c>
      <c r="DF26" s="128">
        <f t="shared" si="13"/>
        <v>372</v>
      </c>
      <c r="DG26" s="130">
        <f t="shared" si="14"/>
        <v>412</v>
      </c>
      <c r="DH26" s="130">
        <f t="shared" si="15"/>
        <v>38</v>
      </c>
      <c r="DI26" s="130">
        <f t="shared" si="39"/>
        <v>180</v>
      </c>
      <c r="DJ26" s="130">
        <f t="shared" si="44"/>
        <v>925</v>
      </c>
      <c r="DK26" s="130">
        <f t="shared" si="43"/>
        <v>279</v>
      </c>
      <c r="DL26" s="129">
        <f t="shared" si="40"/>
        <v>2144</v>
      </c>
      <c r="DM26" s="200">
        <f t="shared" si="42"/>
        <v>3348</v>
      </c>
      <c r="DN26" s="63">
        <v>624</v>
      </c>
      <c r="DO26" s="120">
        <v>8952</v>
      </c>
      <c r="DP26" s="122">
        <f t="shared" si="17"/>
        <v>822</v>
      </c>
      <c r="DQ26" s="223"/>
      <c r="DR26" t="s">
        <v>165</v>
      </c>
    </row>
    <row r="27" spans="1:122" ht="18">
      <c r="A27" s="32">
        <f t="shared" si="18"/>
        <v>46198</v>
      </c>
      <c r="B27" s="34">
        <v>112</v>
      </c>
      <c r="C27" s="4">
        <v>35</v>
      </c>
      <c r="D27" s="4">
        <v>17</v>
      </c>
      <c r="E27" s="4">
        <v>1</v>
      </c>
      <c r="F27" s="4">
        <f t="shared" si="19"/>
        <v>165</v>
      </c>
      <c r="G27" s="4">
        <f t="shared" si="0"/>
        <v>3360</v>
      </c>
      <c r="H27" s="4">
        <f t="shared" si="1"/>
        <v>1050</v>
      </c>
      <c r="I27" s="4">
        <f t="shared" si="2"/>
        <v>510</v>
      </c>
      <c r="J27" s="4">
        <f t="shared" si="3"/>
        <v>30</v>
      </c>
      <c r="K27" s="30">
        <f t="shared" si="4"/>
        <v>4950</v>
      </c>
      <c r="L27" s="52">
        <f t="shared" si="5"/>
        <v>1834</v>
      </c>
      <c r="M27" s="150">
        <v>3</v>
      </c>
      <c r="N27" s="123">
        <v>25.2</v>
      </c>
      <c r="O27" s="123">
        <v>19</v>
      </c>
      <c r="P27" s="123">
        <v>158.94999999999999</v>
      </c>
      <c r="Q27" s="123">
        <v>11.2</v>
      </c>
      <c r="R27" s="123">
        <v>9.9</v>
      </c>
      <c r="S27" s="203">
        <v>3.7</v>
      </c>
      <c r="T27" s="203">
        <v>1</v>
      </c>
      <c r="U27" s="203">
        <v>26</v>
      </c>
      <c r="V27" s="204">
        <f t="shared" si="20"/>
        <v>27</v>
      </c>
      <c r="W27" s="203">
        <v>15.4</v>
      </c>
      <c r="X27" s="203">
        <v>0</v>
      </c>
      <c r="Y27" s="123">
        <f t="shared" si="45"/>
        <v>137.85</v>
      </c>
      <c r="Z27" s="144">
        <v>0</v>
      </c>
      <c r="AA27" s="144">
        <v>3.1</v>
      </c>
      <c r="AB27" s="144">
        <v>7</v>
      </c>
      <c r="AC27" s="144">
        <v>32</v>
      </c>
      <c r="AD27" s="144">
        <v>1092.99</v>
      </c>
      <c r="AE27" s="144">
        <v>145</v>
      </c>
      <c r="AF27" s="123">
        <v>6.5</v>
      </c>
      <c r="AG27" s="123">
        <v>2</v>
      </c>
      <c r="AH27" s="123">
        <v>3</v>
      </c>
      <c r="AI27" s="123">
        <v>51</v>
      </c>
      <c r="AJ27" s="123">
        <f t="shared" si="22"/>
        <v>1479</v>
      </c>
      <c r="AK27" s="123">
        <v>281</v>
      </c>
      <c r="AL27" s="144">
        <v>2</v>
      </c>
      <c r="AM27" s="144">
        <v>13</v>
      </c>
      <c r="AN27" s="144">
        <v>95</v>
      </c>
      <c r="AO27" s="144">
        <v>282</v>
      </c>
      <c r="AP27" s="187">
        <v>99</v>
      </c>
      <c r="AQ27" s="187">
        <v>72</v>
      </c>
      <c r="AR27" s="187">
        <f t="shared" si="23"/>
        <v>111</v>
      </c>
      <c r="AS27" s="187">
        <v>387</v>
      </c>
      <c r="AT27" s="55">
        <v>2</v>
      </c>
      <c r="AU27" s="55">
        <v>288</v>
      </c>
      <c r="AV27" s="55"/>
      <c r="AW27" s="55"/>
      <c r="AX27" s="55">
        <v>15.9</v>
      </c>
      <c r="AY27" s="55">
        <v>0</v>
      </c>
      <c r="AZ27" s="55">
        <v>0</v>
      </c>
      <c r="BA27" s="55">
        <v>0</v>
      </c>
      <c r="BB27" s="181">
        <v>0</v>
      </c>
      <c r="BC27" s="181">
        <v>0</v>
      </c>
      <c r="BD27" s="85">
        <f t="shared" si="24"/>
        <v>0</v>
      </c>
      <c r="BE27" s="100">
        <v>8</v>
      </c>
      <c r="BF27" s="100">
        <v>7</v>
      </c>
      <c r="BG27" s="100">
        <v>850</v>
      </c>
      <c r="BH27" s="100">
        <v>450</v>
      </c>
      <c r="BI27" s="100">
        <v>400</v>
      </c>
      <c r="BJ27" s="100">
        <v>3</v>
      </c>
      <c r="BK27" s="100">
        <v>16.8</v>
      </c>
      <c r="BL27" s="100">
        <v>226</v>
      </c>
      <c r="BM27" s="100">
        <v>300</v>
      </c>
      <c r="BN27" s="100">
        <f t="shared" si="25"/>
        <v>526</v>
      </c>
      <c r="BO27" s="126">
        <f t="shared" si="6"/>
        <v>8</v>
      </c>
      <c r="BP27" s="126">
        <f t="shared" si="7"/>
        <v>8</v>
      </c>
      <c r="BQ27" s="126">
        <f t="shared" si="8"/>
        <v>7</v>
      </c>
      <c r="BR27" s="126">
        <f t="shared" si="9"/>
        <v>850</v>
      </c>
      <c r="BS27" s="126">
        <f t="shared" si="10"/>
        <v>32.700000000000003</v>
      </c>
      <c r="BT27" s="126">
        <f t="shared" si="26"/>
        <v>300</v>
      </c>
      <c r="BU27" s="126">
        <f t="shared" si="27"/>
        <v>814</v>
      </c>
      <c r="BV27" s="77">
        <v>4.7</v>
      </c>
      <c r="BW27" s="77">
        <v>600</v>
      </c>
      <c r="BX27" s="77">
        <v>2</v>
      </c>
      <c r="BY27" s="77">
        <v>11.7</v>
      </c>
      <c r="BZ27" s="77">
        <v>125</v>
      </c>
      <c r="CA27" s="77">
        <v>50</v>
      </c>
      <c r="CB27" s="77">
        <f t="shared" si="28"/>
        <v>175</v>
      </c>
      <c r="CC27" s="215">
        <v>6.7</v>
      </c>
      <c r="CD27" s="215">
        <v>2000</v>
      </c>
      <c r="CE27" s="215">
        <v>3</v>
      </c>
      <c r="CF27" s="215">
        <v>18.7</v>
      </c>
      <c r="CG27" s="215">
        <v>106</v>
      </c>
      <c r="CH27" s="215">
        <v>215</v>
      </c>
      <c r="CI27" s="215">
        <f t="shared" si="29"/>
        <v>321</v>
      </c>
      <c r="CJ27" s="4">
        <f>3668-1826</f>
        <v>1842</v>
      </c>
      <c r="CK27" s="4">
        <v>100</v>
      </c>
      <c r="CL27" s="49">
        <f t="shared" si="30"/>
        <v>387</v>
      </c>
      <c r="CM27" s="4">
        <v>75</v>
      </c>
      <c r="CN27" s="4">
        <f t="shared" si="46"/>
        <v>145</v>
      </c>
      <c r="CO27" s="22">
        <f t="shared" si="12"/>
        <v>281</v>
      </c>
      <c r="CP27" s="4">
        <v>308</v>
      </c>
      <c r="CQ27" s="4">
        <v>300</v>
      </c>
      <c r="CR27" s="4">
        <v>230</v>
      </c>
      <c r="CS27" s="4">
        <f t="shared" si="31"/>
        <v>0</v>
      </c>
      <c r="CT27" s="4"/>
      <c r="CU27" s="226">
        <f t="shared" si="32"/>
        <v>3668</v>
      </c>
      <c r="CV27" s="4">
        <v>3286</v>
      </c>
      <c r="CW27" s="119">
        <f t="shared" si="41"/>
        <v>624</v>
      </c>
      <c r="CX27" s="118">
        <f t="shared" si="33"/>
        <v>3286</v>
      </c>
      <c r="CY27" s="118">
        <f t="shared" si="34"/>
        <v>3910</v>
      </c>
      <c r="CZ27" s="119">
        <f t="shared" si="35"/>
        <v>3668</v>
      </c>
      <c r="DA27" s="81"/>
      <c r="DB27" s="119">
        <f t="shared" si="36"/>
        <v>242</v>
      </c>
      <c r="DC27" s="81">
        <v>3838</v>
      </c>
      <c r="DD27" s="128">
        <f t="shared" si="37"/>
        <v>145</v>
      </c>
      <c r="DE27" s="129">
        <f t="shared" si="38"/>
        <v>281</v>
      </c>
      <c r="DF27" s="128">
        <f t="shared" si="13"/>
        <v>288</v>
      </c>
      <c r="DG27" s="130">
        <f t="shared" si="14"/>
        <v>526</v>
      </c>
      <c r="DH27" s="130">
        <f t="shared" si="15"/>
        <v>175</v>
      </c>
      <c r="DI27" s="130">
        <f t="shared" si="39"/>
        <v>321</v>
      </c>
      <c r="DJ27" s="130">
        <f t="shared" si="44"/>
        <v>0</v>
      </c>
      <c r="DK27" s="130">
        <f t="shared" si="43"/>
        <v>387</v>
      </c>
      <c r="DL27" s="129">
        <f t="shared" si="40"/>
        <v>1715</v>
      </c>
      <c r="DM27" s="200">
        <f t="shared" si="42"/>
        <v>2102</v>
      </c>
      <c r="DN27" s="63">
        <v>242</v>
      </c>
      <c r="DO27" s="120">
        <v>8827</v>
      </c>
      <c r="DP27" s="122">
        <f t="shared" si="17"/>
        <v>989</v>
      </c>
      <c r="DQ27" s="223"/>
    </row>
    <row r="28" spans="1:122" ht="18">
      <c r="A28" s="32">
        <f t="shared" si="18"/>
        <v>46199</v>
      </c>
      <c r="B28" s="34">
        <v>53</v>
      </c>
      <c r="C28" s="4">
        <v>11</v>
      </c>
      <c r="D28" s="4">
        <v>13</v>
      </c>
      <c r="E28" s="4">
        <v>30</v>
      </c>
      <c r="F28" s="4">
        <f t="shared" si="19"/>
        <v>107</v>
      </c>
      <c r="G28" s="4">
        <f t="shared" si="0"/>
        <v>1590</v>
      </c>
      <c r="H28" s="4">
        <f t="shared" si="1"/>
        <v>330</v>
      </c>
      <c r="I28" s="4">
        <f t="shared" si="2"/>
        <v>390</v>
      </c>
      <c r="J28" s="4">
        <f t="shared" si="3"/>
        <v>900</v>
      </c>
      <c r="K28" s="30">
        <f t="shared" si="4"/>
        <v>3210</v>
      </c>
      <c r="L28" s="52">
        <f t="shared" si="5"/>
        <v>1189</v>
      </c>
      <c r="M28" s="150">
        <v>3</v>
      </c>
      <c r="N28" s="123">
        <v>19.3</v>
      </c>
      <c r="O28" s="123">
        <v>21</v>
      </c>
      <c r="P28" s="123">
        <v>127.6</v>
      </c>
      <c r="Q28" s="123">
        <v>0</v>
      </c>
      <c r="R28" s="123">
        <v>35.049999999999997</v>
      </c>
      <c r="S28" s="203">
        <v>4.3</v>
      </c>
      <c r="T28" s="203">
        <v>5</v>
      </c>
      <c r="U28" s="203">
        <v>20</v>
      </c>
      <c r="V28" s="204">
        <f t="shared" si="20"/>
        <v>25</v>
      </c>
      <c r="W28" s="203">
        <v>16.899999999999999</v>
      </c>
      <c r="X28" s="203">
        <v>250</v>
      </c>
      <c r="Y28" s="123">
        <f t="shared" si="45"/>
        <v>92.55</v>
      </c>
      <c r="Z28" s="144">
        <v>2.6</v>
      </c>
      <c r="AA28" s="144">
        <v>4.2</v>
      </c>
      <c r="AB28" s="144">
        <v>10</v>
      </c>
      <c r="AC28" s="144">
        <v>77</v>
      </c>
      <c r="AD28" s="144">
        <v>2677.31</v>
      </c>
      <c r="AE28" s="144">
        <v>303</v>
      </c>
      <c r="AF28" s="123">
        <v>0</v>
      </c>
      <c r="AG28" s="123">
        <v>0</v>
      </c>
      <c r="AH28" s="123">
        <v>0</v>
      </c>
      <c r="AI28" s="123">
        <v>0</v>
      </c>
      <c r="AJ28" s="123">
        <f t="shared" si="22"/>
        <v>0</v>
      </c>
      <c r="AK28" s="123">
        <v>0</v>
      </c>
      <c r="AL28" s="144">
        <v>2</v>
      </c>
      <c r="AM28" s="144">
        <v>10</v>
      </c>
      <c r="AN28" s="144">
        <v>61</v>
      </c>
      <c r="AO28" s="144">
        <v>183</v>
      </c>
      <c r="AP28" s="187">
        <v>75</v>
      </c>
      <c r="AQ28" s="187">
        <v>51</v>
      </c>
      <c r="AR28" s="187">
        <f t="shared" si="23"/>
        <v>57</v>
      </c>
      <c r="AS28" s="187">
        <v>470</v>
      </c>
      <c r="AT28" s="55">
        <v>5</v>
      </c>
      <c r="AU28" s="55">
        <v>262</v>
      </c>
      <c r="AV28" s="55">
        <v>0</v>
      </c>
      <c r="AW28" s="55">
        <v>0</v>
      </c>
      <c r="AX28" s="55">
        <v>18.899999999999999</v>
      </c>
      <c r="AY28" s="55">
        <v>2.59</v>
      </c>
      <c r="AZ28" s="55">
        <v>3</v>
      </c>
      <c r="BA28" s="55">
        <v>3</v>
      </c>
      <c r="BB28" s="181">
        <v>480</v>
      </c>
      <c r="BC28" s="84">
        <v>80</v>
      </c>
      <c r="BD28" s="85">
        <f t="shared" si="24"/>
        <v>400</v>
      </c>
      <c r="BE28" s="100">
        <v>8</v>
      </c>
      <c r="BF28" s="100">
        <v>5.5</v>
      </c>
      <c r="BG28" s="100">
        <v>1350</v>
      </c>
      <c r="BH28" s="100">
        <v>600</v>
      </c>
      <c r="BI28" s="100">
        <v>750</v>
      </c>
      <c r="BJ28" s="100">
        <v>1</v>
      </c>
      <c r="BK28" s="100">
        <v>8</v>
      </c>
      <c r="BL28" s="100">
        <v>145</v>
      </c>
      <c r="BM28" s="100">
        <v>200</v>
      </c>
      <c r="BN28" s="100">
        <f t="shared" si="25"/>
        <v>345</v>
      </c>
      <c r="BO28" s="126">
        <f t="shared" si="6"/>
        <v>10.59</v>
      </c>
      <c r="BP28" s="126">
        <f t="shared" si="7"/>
        <v>11</v>
      </c>
      <c r="BQ28" s="126">
        <f t="shared" si="8"/>
        <v>8.5</v>
      </c>
      <c r="BR28" s="126">
        <f t="shared" si="9"/>
        <v>1830</v>
      </c>
      <c r="BS28" s="126">
        <f t="shared" si="10"/>
        <v>26.9</v>
      </c>
      <c r="BT28" s="126">
        <f t="shared" si="26"/>
        <v>200</v>
      </c>
      <c r="BU28" s="126">
        <f t="shared" si="27"/>
        <v>607</v>
      </c>
      <c r="BV28" s="77">
        <v>3.7</v>
      </c>
      <c r="BW28" s="77">
        <v>500</v>
      </c>
      <c r="BX28" s="77">
        <v>2</v>
      </c>
      <c r="BY28" s="77">
        <v>4.5</v>
      </c>
      <c r="BZ28" s="77">
        <v>61</v>
      </c>
      <c r="CA28" s="77">
        <v>15</v>
      </c>
      <c r="CB28" s="77">
        <f t="shared" si="28"/>
        <v>76</v>
      </c>
      <c r="CC28" s="215">
        <v>2.4</v>
      </c>
      <c r="CD28" s="215">
        <v>700</v>
      </c>
      <c r="CE28" s="215">
        <v>3</v>
      </c>
      <c r="CF28" s="215">
        <v>11.9</v>
      </c>
      <c r="CG28" s="215">
        <v>422</v>
      </c>
      <c r="CH28" s="215">
        <v>48</v>
      </c>
      <c r="CI28" s="215">
        <f t="shared" si="29"/>
        <v>470</v>
      </c>
      <c r="CJ28" s="4">
        <f>3335-1816</f>
        <v>1519</v>
      </c>
      <c r="CK28" s="4">
        <f>403-50</f>
        <v>353</v>
      </c>
      <c r="CL28" s="49">
        <f t="shared" si="30"/>
        <v>470</v>
      </c>
      <c r="CM28" s="4">
        <v>40</v>
      </c>
      <c r="CN28" s="4">
        <f t="shared" si="46"/>
        <v>303</v>
      </c>
      <c r="CO28" s="22">
        <f t="shared" si="12"/>
        <v>0</v>
      </c>
      <c r="CP28" s="4">
        <v>0</v>
      </c>
      <c r="CQ28" s="4">
        <v>50</v>
      </c>
      <c r="CR28" s="4">
        <v>350</v>
      </c>
      <c r="CS28" s="4">
        <f t="shared" si="31"/>
        <v>250</v>
      </c>
      <c r="CT28" s="4"/>
      <c r="CU28" s="226">
        <f t="shared" si="32"/>
        <v>3335</v>
      </c>
      <c r="CV28" s="4">
        <v>3672</v>
      </c>
      <c r="CW28" s="119">
        <f t="shared" si="41"/>
        <v>242</v>
      </c>
      <c r="CX28" s="118">
        <f t="shared" si="33"/>
        <v>3672</v>
      </c>
      <c r="CY28" s="118">
        <f t="shared" si="34"/>
        <v>3914</v>
      </c>
      <c r="CZ28" s="119">
        <f t="shared" si="35"/>
        <v>3335</v>
      </c>
      <c r="DA28" s="81"/>
      <c r="DB28" s="119">
        <f t="shared" si="36"/>
        <v>579</v>
      </c>
      <c r="DC28" s="81">
        <v>3174</v>
      </c>
      <c r="DD28" s="128">
        <f t="shared" si="37"/>
        <v>303</v>
      </c>
      <c r="DE28" s="129">
        <f t="shared" si="38"/>
        <v>0</v>
      </c>
      <c r="DF28" s="128">
        <f t="shared" si="13"/>
        <v>262</v>
      </c>
      <c r="DG28" s="130">
        <f t="shared" si="14"/>
        <v>345</v>
      </c>
      <c r="DH28" s="130">
        <f t="shared" si="15"/>
        <v>76</v>
      </c>
      <c r="DI28" s="130">
        <f t="shared" si="39"/>
        <v>470</v>
      </c>
      <c r="DJ28" s="130">
        <f t="shared" si="44"/>
        <v>250</v>
      </c>
      <c r="DK28" s="130">
        <f t="shared" si="43"/>
        <v>470</v>
      </c>
      <c r="DL28" s="129">
        <f t="shared" si="40"/>
        <v>998</v>
      </c>
      <c r="DM28" s="200">
        <f t="shared" si="42"/>
        <v>1718</v>
      </c>
      <c r="DN28" s="182">
        <v>579</v>
      </c>
      <c r="DO28" s="120">
        <v>8988</v>
      </c>
      <c r="DP28" s="122">
        <f t="shared" si="17"/>
        <v>683</v>
      </c>
      <c r="DQ28" s="223"/>
    </row>
    <row r="29" spans="1:122" ht="18">
      <c r="A29" s="32">
        <f t="shared" si="18"/>
        <v>46200</v>
      </c>
      <c r="B29" s="34">
        <v>32</v>
      </c>
      <c r="C29" s="4">
        <v>0</v>
      </c>
      <c r="D29" s="4">
        <v>7</v>
      </c>
      <c r="E29" s="4">
        <v>30</v>
      </c>
      <c r="F29" s="4">
        <f t="shared" si="19"/>
        <v>69</v>
      </c>
      <c r="G29" s="4">
        <f t="shared" si="0"/>
        <v>960</v>
      </c>
      <c r="H29" s="4">
        <f t="shared" si="1"/>
        <v>0</v>
      </c>
      <c r="I29" s="4">
        <f t="shared" si="2"/>
        <v>210</v>
      </c>
      <c r="J29" s="4">
        <f t="shared" si="3"/>
        <v>900</v>
      </c>
      <c r="K29" s="30">
        <f t="shared" si="4"/>
        <v>2070</v>
      </c>
      <c r="L29" s="52">
        <f t="shared" si="5"/>
        <v>767</v>
      </c>
      <c r="M29" s="150">
        <v>3</v>
      </c>
      <c r="N29" s="123">
        <v>14.6</v>
      </c>
      <c r="O29" s="123">
        <v>19</v>
      </c>
      <c r="P29" s="123">
        <v>12.85</v>
      </c>
      <c r="Q29" s="123">
        <v>1.65</v>
      </c>
      <c r="R29" s="123">
        <v>0</v>
      </c>
      <c r="S29" s="203">
        <v>4.2</v>
      </c>
      <c r="T29" s="203"/>
      <c r="U29" s="203">
        <v>20</v>
      </c>
      <c r="V29" s="204">
        <f t="shared" si="20"/>
        <v>20</v>
      </c>
      <c r="W29" s="203">
        <v>14.6</v>
      </c>
      <c r="X29" s="203">
        <v>0</v>
      </c>
      <c r="Y29" s="123">
        <f t="shared" si="45"/>
        <v>11.2</v>
      </c>
      <c r="Z29" s="144">
        <v>0</v>
      </c>
      <c r="AA29" s="144">
        <v>0</v>
      </c>
      <c r="AB29" s="144">
        <v>0</v>
      </c>
      <c r="AC29" s="144">
        <v>0</v>
      </c>
      <c r="AD29" s="144">
        <v>0</v>
      </c>
      <c r="AE29" s="144">
        <v>0</v>
      </c>
      <c r="AF29" s="123">
        <v>1.3</v>
      </c>
      <c r="AG29" s="123">
        <v>0</v>
      </c>
      <c r="AH29" s="123">
        <v>1</v>
      </c>
      <c r="AI29" s="123">
        <v>7</v>
      </c>
      <c r="AJ29" s="123">
        <f t="shared" si="22"/>
        <v>203</v>
      </c>
      <c r="AK29" s="123">
        <v>41</v>
      </c>
      <c r="AL29" s="144">
        <v>2</v>
      </c>
      <c r="AM29" s="144">
        <v>9</v>
      </c>
      <c r="AN29" s="144">
        <v>44</v>
      </c>
      <c r="AO29" s="144">
        <v>132</v>
      </c>
      <c r="AP29" s="187">
        <v>66</v>
      </c>
      <c r="AQ29" s="187">
        <v>21</v>
      </c>
      <c r="AR29" s="187">
        <f t="shared" si="23"/>
        <v>45</v>
      </c>
      <c r="AS29" s="187">
        <v>395</v>
      </c>
      <c r="AT29" s="55">
        <v>4</v>
      </c>
      <c r="AU29" s="55">
        <v>367</v>
      </c>
      <c r="AV29" s="55"/>
      <c r="AW29" s="55"/>
      <c r="AX29" s="55">
        <v>21.9</v>
      </c>
      <c r="AY29" s="55">
        <v>6.05</v>
      </c>
      <c r="AZ29" s="55">
        <v>6</v>
      </c>
      <c r="BA29" s="55">
        <v>7</v>
      </c>
      <c r="BB29" s="181">
        <v>700</v>
      </c>
      <c r="BC29" s="84">
        <v>350</v>
      </c>
      <c r="BD29" s="85">
        <f t="shared" si="24"/>
        <v>350</v>
      </c>
      <c r="BE29" s="100">
        <v>0</v>
      </c>
      <c r="BF29" s="100">
        <v>0</v>
      </c>
      <c r="BG29" s="100">
        <v>0</v>
      </c>
      <c r="BH29" s="100">
        <v>0</v>
      </c>
      <c r="BI29" s="100">
        <v>0</v>
      </c>
      <c r="BJ29" s="100">
        <v>0</v>
      </c>
      <c r="BK29" s="100">
        <v>0</v>
      </c>
      <c r="BL29" s="100">
        <v>0</v>
      </c>
      <c r="BM29" s="100">
        <v>0</v>
      </c>
      <c r="BN29" s="100">
        <f t="shared" si="25"/>
        <v>0</v>
      </c>
      <c r="BO29" s="126">
        <f t="shared" si="6"/>
        <v>6.05</v>
      </c>
      <c r="BP29" s="126">
        <f t="shared" si="7"/>
        <v>6</v>
      </c>
      <c r="BQ29" s="126">
        <f t="shared" si="8"/>
        <v>7</v>
      </c>
      <c r="BR29" s="126">
        <f t="shared" si="9"/>
        <v>700</v>
      </c>
      <c r="BS29" s="126">
        <f t="shared" si="10"/>
        <v>21.9</v>
      </c>
      <c r="BT29" s="126">
        <f t="shared" si="26"/>
        <v>0</v>
      </c>
      <c r="BU29" s="126">
        <f t="shared" si="27"/>
        <v>367</v>
      </c>
      <c r="BV29" s="77">
        <v>2.5</v>
      </c>
      <c r="BW29" s="77">
        <v>300</v>
      </c>
      <c r="BX29" s="77">
        <v>1</v>
      </c>
      <c r="BY29" s="77">
        <v>2</v>
      </c>
      <c r="BZ29" s="77">
        <v>20</v>
      </c>
      <c r="CA29" s="77">
        <v>25</v>
      </c>
      <c r="CB29" s="77">
        <f t="shared" si="28"/>
        <v>45</v>
      </c>
      <c r="CC29" s="215"/>
      <c r="CD29" s="215"/>
      <c r="CE29" s="215"/>
      <c r="CF29" s="215"/>
      <c r="CG29" s="215"/>
      <c r="CH29" s="215"/>
      <c r="CI29" s="215">
        <f t="shared" si="29"/>
        <v>0</v>
      </c>
      <c r="CJ29" s="4">
        <f>1209+290-41</f>
        <v>1458</v>
      </c>
      <c r="CK29" s="4">
        <v>827</v>
      </c>
      <c r="CL29" s="49">
        <f t="shared" si="30"/>
        <v>395</v>
      </c>
      <c r="CM29" s="4">
        <v>168</v>
      </c>
      <c r="CN29" s="4">
        <f t="shared" si="46"/>
        <v>0</v>
      </c>
      <c r="CO29" s="22">
        <f t="shared" si="12"/>
        <v>41</v>
      </c>
      <c r="CP29" s="4">
        <v>0</v>
      </c>
      <c r="CQ29" s="4">
        <v>256</v>
      </c>
      <c r="CR29" s="4"/>
      <c r="CS29" s="4">
        <f t="shared" si="31"/>
        <v>0</v>
      </c>
      <c r="CT29" s="4"/>
      <c r="CU29" s="226">
        <f t="shared" si="32"/>
        <v>3145</v>
      </c>
      <c r="CV29" s="4">
        <v>7958</v>
      </c>
      <c r="CW29" s="119">
        <f t="shared" si="41"/>
        <v>579</v>
      </c>
      <c r="CX29" s="118">
        <f t="shared" si="33"/>
        <v>7958</v>
      </c>
      <c r="CY29" s="118">
        <f t="shared" si="34"/>
        <v>8537</v>
      </c>
      <c r="CZ29" s="119">
        <f t="shared" si="35"/>
        <v>3145</v>
      </c>
      <c r="DA29" s="81"/>
      <c r="DB29" s="119">
        <f t="shared" si="36"/>
        <v>5392</v>
      </c>
      <c r="DC29" s="81">
        <v>1932</v>
      </c>
      <c r="DD29" s="128">
        <f t="shared" si="37"/>
        <v>0</v>
      </c>
      <c r="DE29" s="129">
        <f t="shared" si="38"/>
        <v>41</v>
      </c>
      <c r="DF29" s="128">
        <f t="shared" si="13"/>
        <v>367</v>
      </c>
      <c r="DG29" s="130">
        <f t="shared" si="14"/>
        <v>0</v>
      </c>
      <c r="DH29" s="130">
        <f t="shared" si="15"/>
        <v>45</v>
      </c>
      <c r="DI29" s="130">
        <f t="shared" si="39"/>
        <v>0</v>
      </c>
      <c r="DJ29" s="130">
        <f t="shared" si="44"/>
        <v>0</v>
      </c>
      <c r="DK29" s="130">
        <f t="shared" si="43"/>
        <v>395</v>
      </c>
      <c r="DL29" s="129">
        <f t="shared" si="40"/>
        <v>1084</v>
      </c>
      <c r="DM29" s="200">
        <f t="shared" si="42"/>
        <v>1479</v>
      </c>
      <c r="DN29" s="63">
        <v>5392</v>
      </c>
      <c r="DO29" s="120">
        <v>10201</v>
      </c>
      <c r="DP29" s="122">
        <f t="shared" si="17"/>
        <v>412</v>
      </c>
      <c r="DQ29" s="223"/>
    </row>
    <row r="30" spans="1:122" ht="18">
      <c r="A30" s="32">
        <f t="shared" si="18"/>
        <v>46201</v>
      </c>
      <c r="B30" s="34">
        <v>0</v>
      </c>
      <c r="C30" s="4">
        <v>0</v>
      </c>
      <c r="D30" s="4">
        <v>0</v>
      </c>
      <c r="E30" s="4">
        <v>0</v>
      </c>
      <c r="F30" s="4">
        <f t="shared" si="19"/>
        <v>0</v>
      </c>
      <c r="G30" s="4">
        <f t="shared" si="0"/>
        <v>0</v>
      </c>
      <c r="H30" s="4">
        <f t="shared" si="1"/>
        <v>0</v>
      </c>
      <c r="I30" s="4">
        <f t="shared" si="2"/>
        <v>0</v>
      </c>
      <c r="J30" s="4">
        <f t="shared" si="3"/>
        <v>0</v>
      </c>
      <c r="K30" s="30">
        <f t="shared" si="4"/>
        <v>0</v>
      </c>
      <c r="L30" s="52">
        <f t="shared" si="5"/>
        <v>0</v>
      </c>
      <c r="M30" s="150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203">
        <v>0</v>
      </c>
      <c r="T30" s="203">
        <v>0</v>
      </c>
      <c r="U30" s="203">
        <v>0</v>
      </c>
      <c r="V30" s="204">
        <f t="shared" si="20"/>
        <v>0</v>
      </c>
      <c r="W30" s="203">
        <v>0</v>
      </c>
      <c r="X30" s="203">
        <v>0</v>
      </c>
      <c r="Y30" s="123">
        <f t="shared" si="45"/>
        <v>0</v>
      </c>
      <c r="Z30" s="144">
        <v>0</v>
      </c>
      <c r="AA30" s="144">
        <v>0</v>
      </c>
      <c r="AB30" s="144">
        <v>0</v>
      </c>
      <c r="AC30" s="144">
        <v>0</v>
      </c>
      <c r="AD30" s="144">
        <v>0</v>
      </c>
      <c r="AE30" s="144">
        <v>0</v>
      </c>
      <c r="AF30" s="123">
        <v>0</v>
      </c>
      <c r="AG30" s="123">
        <v>0</v>
      </c>
      <c r="AH30" s="123">
        <v>0</v>
      </c>
      <c r="AI30" s="123">
        <v>0</v>
      </c>
      <c r="AJ30" s="123">
        <f t="shared" si="22"/>
        <v>0</v>
      </c>
      <c r="AK30" s="123">
        <v>0</v>
      </c>
      <c r="AL30" s="144">
        <v>0</v>
      </c>
      <c r="AM30" s="144">
        <v>0</v>
      </c>
      <c r="AN30" s="144">
        <v>0</v>
      </c>
      <c r="AO30" s="144">
        <v>0</v>
      </c>
      <c r="AP30" s="187">
        <v>0</v>
      </c>
      <c r="AQ30" s="187">
        <v>0</v>
      </c>
      <c r="AR30" s="187">
        <v>0</v>
      </c>
      <c r="AS30" s="187">
        <v>0</v>
      </c>
      <c r="AT30" s="55">
        <v>0</v>
      </c>
      <c r="AU30" s="55">
        <v>0</v>
      </c>
      <c r="AV30" s="55">
        <v>0</v>
      </c>
      <c r="AW30" s="55">
        <v>0</v>
      </c>
      <c r="AX30" s="55">
        <v>0</v>
      </c>
      <c r="AY30" s="55">
        <v>0</v>
      </c>
      <c r="AZ30" s="55">
        <v>0</v>
      </c>
      <c r="BA30" s="55">
        <v>0</v>
      </c>
      <c r="BB30" s="181">
        <v>0</v>
      </c>
      <c r="BC30" s="84">
        <v>0</v>
      </c>
      <c r="BD30" s="85">
        <v>0</v>
      </c>
      <c r="BE30" s="100">
        <v>0</v>
      </c>
      <c r="BF30" s="100">
        <v>0</v>
      </c>
      <c r="BG30" s="100">
        <v>0</v>
      </c>
      <c r="BH30" s="100">
        <v>0</v>
      </c>
      <c r="BI30" s="100">
        <v>0</v>
      </c>
      <c r="BJ30" s="100">
        <v>0</v>
      </c>
      <c r="BK30" s="100">
        <v>0</v>
      </c>
      <c r="BL30" s="100">
        <v>0</v>
      </c>
      <c r="BM30" s="100">
        <v>0</v>
      </c>
      <c r="BN30" s="100">
        <f t="shared" si="25"/>
        <v>0</v>
      </c>
      <c r="BO30" s="126">
        <f t="shared" si="6"/>
        <v>0</v>
      </c>
      <c r="BP30" s="126">
        <f t="shared" si="7"/>
        <v>0</v>
      </c>
      <c r="BQ30" s="126">
        <f t="shared" si="8"/>
        <v>0</v>
      </c>
      <c r="BR30" s="126">
        <f t="shared" si="9"/>
        <v>0</v>
      </c>
      <c r="BS30" s="126">
        <f t="shared" si="10"/>
        <v>0</v>
      </c>
      <c r="BT30" s="126">
        <f t="shared" si="26"/>
        <v>0</v>
      </c>
      <c r="BU30" s="126">
        <f t="shared" si="27"/>
        <v>0</v>
      </c>
      <c r="BV30" s="77">
        <v>0</v>
      </c>
      <c r="BW30" s="77">
        <v>0</v>
      </c>
      <c r="BX30" s="77">
        <v>0</v>
      </c>
      <c r="BY30" s="77">
        <v>0</v>
      </c>
      <c r="BZ30" s="77">
        <v>0</v>
      </c>
      <c r="CA30" s="77">
        <v>0</v>
      </c>
      <c r="CB30" s="77">
        <v>0</v>
      </c>
      <c r="CC30" s="215">
        <v>0</v>
      </c>
      <c r="CD30" s="215">
        <v>0</v>
      </c>
      <c r="CE30" s="215">
        <v>0</v>
      </c>
      <c r="CF30" s="215">
        <v>0</v>
      </c>
      <c r="CG30" s="215">
        <v>0</v>
      </c>
      <c r="CH30" s="215">
        <v>0</v>
      </c>
      <c r="CI30" s="215">
        <v>0</v>
      </c>
      <c r="CJ30" s="4">
        <v>0</v>
      </c>
      <c r="CK30" s="4">
        <v>0</v>
      </c>
      <c r="CL30" s="49">
        <f t="shared" si="30"/>
        <v>0</v>
      </c>
      <c r="CM30" s="4">
        <v>0</v>
      </c>
      <c r="CN30" s="4">
        <f t="shared" si="46"/>
        <v>0</v>
      </c>
      <c r="CO30" s="22">
        <f t="shared" si="12"/>
        <v>0</v>
      </c>
      <c r="CP30" s="4">
        <v>0</v>
      </c>
      <c r="CQ30" s="4">
        <v>0</v>
      </c>
      <c r="CR30" s="4">
        <v>0</v>
      </c>
      <c r="CS30" s="4">
        <f t="shared" si="31"/>
        <v>0</v>
      </c>
      <c r="CT30" s="4">
        <v>0</v>
      </c>
      <c r="CU30" s="226">
        <f t="shared" si="32"/>
        <v>0</v>
      </c>
      <c r="CV30" s="4">
        <v>0</v>
      </c>
      <c r="CW30" s="119">
        <f t="shared" si="41"/>
        <v>5392</v>
      </c>
      <c r="CX30" s="118">
        <f t="shared" si="33"/>
        <v>0</v>
      </c>
      <c r="CY30" s="118">
        <f t="shared" si="34"/>
        <v>5392</v>
      </c>
      <c r="CZ30" s="119">
        <f t="shared" si="35"/>
        <v>0</v>
      </c>
      <c r="DA30" s="81"/>
      <c r="DB30" s="119">
        <f t="shared" si="36"/>
        <v>5392</v>
      </c>
      <c r="DC30" s="81">
        <v>0</v>
      </c>
      <c r="DD30" s="128">
        <f t="shared" si="37"/>
        <v>0</v>
      </c>
      <c r="DE30" s="129">
        <f t="shared" si="38"/>
        <v>0</v>
      </c>
      <c r="DF30" s="128">
        <f t="shared" si="13"/>
        <v>0</v>
      </c>
      <c r="DG30" s="130">
        <f t="shared" si="14"/>
        <v>0</v>
      </c>
      <c r="DH30" s="130">
        <f t="shared" si="15"/>
        <v>0</v>
      </c>
      <c r="DI30" s="130">
        <f t="shared" si="39"/>
        <v>0</v>
      </c>
      <c r="DJ30" s="130">
        <f t="shared" si="44"/>
        <v>0</v>
      </c>
      <c r="DK30" s="130">
        <f t="shared" si="43"/>
        <v>0</v>
      </c>
      <c r="DL30" s="129">
        <f t="shared" si="40"/>
        <v>0</v>
      </c>
      <c r="DM30" s="200">
        <f t="shared" si="42"/>
        <v>0</v>
      </c>
      <c r="DO30" s="120"/>
      <c r="DP30" s="122">
        <f t="shared" si="17"/>
        <v>0</v>
      </c>
      <c r="DQ30" s="223"/>
    </row>
    <row r="31" spans="1:122" ht="18">
      <c r="A31" s="32">
        <f t="shared" si="18"/>
        <v>46202</v>
      </c>
      <c r="B31" s="34">
        <v>21</v>
      </c>
      <c r="C31" s="4"/>
      <c r="D31" s="4">
        <v>28</v>
      </c>
      <c r="E31" s="4">
        <v>32</v>
      </c>
      <c r="F31" s="4">
        <f t="shared" si="19"/>
        <v>81</v>
      </c>
      <c r="G31" s="4">
        <f t="shared" si="0"/>
        <v>630</v>
      </c>
      <c r="H31" s="4">
        <f t="shared" si="1"/>
        <v>0</v>
      </c>
      <c r="I31" s="4">
        <f t="shared" si="2"/>
        <v>840</v>
      </c>
      <c r="J31" s="4">
        <f t="shared" si="3"/>
        <v>960</v>
      </c>
      <c r="K31" s="30">
        <f t="shared" si="4"/>
        <v>2430</v>
      </c>
      <c r="L31" s="52">
        <f t="shared" si="5"/>
        <v>900</v>
      </c>
      <c r="M31" s="150">
        <v>2</v>
      </c>
      <c r="N31" s="123">
        <v>10.3</v>
      </c>
      <c r="O31" s="123">
        <v>21</v>
      </c>
      <c r="P31" s="123">
        <v>126.15</v>
      </c>
      <c r="Q31" s="123">
        <v>0</v>
      </c>
      <c r="R31" s="123">
        <v>54.15</v>
      </c>
      <c r="S31" s="203">
        <v>3.2</v>
      </c>
      <c r="T31" s="203">
        <v>10</v>
      </c>
      <c r="U31" s="203">
        <v>1</v>
      </c>
      <c r="V31" s="204">
        <f t="shared" si="20"/>
        <v>11</v>
      </c>
      <c r="W31" s="203">
        <v>12.6</v>
      </c>
      <c r="X31" s="203">
        <v>933</v>
      </c>
      <c r="Y31" s="123">
        <f t="shared" si="45"/>
        <v>72</v>
      </c>
      <c r="Z31" s="144">
        <v>5.8</v>
      </c>
      <c r="AA31" s="144">
        <v>5.8</v>
      </c>
      <c r="AB31" s="144">
        <v>12</v>
      </c>
      <c r="AC31" s="144">
        <v>140</v>
      </c>
      <c r="AD31" s="144">
        <v>5070.8999999999996</v>
      </c>
      <c r="AE31" s="144">
        <v>625</v>
      </c>
      <c r="AF31" s="123">
        <v>0</v>
      </c>
      <c r="AG31" s="123">
        <v>0</v>
      </c>
      <c r="AH31" s="123">
        <v>0</v>
      </c>
      <c r="AI31" s="123">
        <v>0</v>
      </c>
      <c r="AJ31" s="123">
        <f t="shared" si="22"/>
        <v>0</v>
      </c>
      <c r="AK31" s="123">
        <v>0</v>
      </c>
      <c r="AL31" s="144">
        <v>1</v>
      </c>
      <c r="AM31" s="144">
        <v>6</v>
      </c>
      <c r="AN31" s="144">
        <v>25</v>
      </c>
      <c r="AO31" s="144">
        <v>60</v>
      </c>
      <c r="AP31" s="187"/>
      <c r="AQ31" s="187">
        <v>60</v>
      </c>
      <c r="AR31" s="187">
        <f t="shared" si="23"/>
        <v>0</v>
      </c>
      <c r="AS31" s="187">
        <v>350</v>
      </c>
      <c r="AT31" s="55">
        <v>4</v>
      </c>
      <c r="AU31" s="55">
        <v>494</v>
      </c>
      <c r="AV31" s="55">
        <v>0</v>
      </c>
      <c r="AW31" s="55">
        <v>0</v>
      </c>
      <c r="AX31" s="55">
        <v>28.6</v>
      </c>
      <c r="AY31" s="55">
        <v>8</v>
      </c>
      <c r="AZ31" s="55">
        <v>10</v>
      </c>
      <c r="BA31" s="55">
        <v>13</v>
      </c>
      <c r="BB31" s="181">
        <v>1280</v>
      </c>
      <c r="BC31" s="84">
        <v>640</v>
      </c>
      <c r="BD31" s="85">
        <f t="shared" si="24"/>
        <v>640</v>
      </c>
      <c r="BE31" s="100">
        <v>9</v>
      </c>
      <c r="BF31" s="100">
        <v>10</v>
      </c>
      <c r="BG31" s="100">
        <v>800</v>
      </c>
      <c r="BH31" s="100">
        <v>600</v>
      </c>
      <c r="BI31" s="100">
        <v>200</v>
      </c>
      <c r="BJ31" s="100">
        <v>1</v>
      </c>
      <c r="BK31" s="100">
        <v>7.8</v>
      </c>
      <c r="BL31" s="100">
        <v>166</v>
      </c>
      <c r="BM31" s="100">
        <v>325</v>
      </c>
      <c r="BN31" s="100">
        <f t="shared" si="25"/>
        <v>491</v>
      </c>
      <c r="BO31" s="126">
        <f t="shared" si="6"/>
        <v>17</v>
      </c>
      <c r="BP31" s="126">
        <f t="shared" si="7"/>
        <v>19</v>
      </c>
      <c r="BQ31" s="126">
        <f t="shared" si="8"/>
        <v>23</v>
      </c>
      <c r="BR31" s="126">
        <f t="shared" si="9"/>
        <v>2080</v>
      </c>
      <c r="BS31" s="126">
        <f t="shared" si="10"/>
        <v>36.4</v>
      </c>
      <c r="BT31" s="126">
        <f t="shared" si="26"/>
        <v>325</v>
      </c>
      <c r="BU31" s="126">
        <f t="shared" si="27"/>
        <v>985</v>
      </c>
      <c r="BV31" s="77">
        <v>5.2</v>
      </c>
      <c r="BW31" s="77">
        <v>700</v>
      </c>
      <c r="BX31" s="77">
        <v>2</v>
      </c>
      <c r="BY31" s="77">
        <v>10</v>
      </c>
      <c r="BZ31" s="77">
        <v>109</v>
      </c>
      <c r="CA31" s="77">
        <v>55</v>
      </c>
      <c r="CB31" s="77">
        <f t="shared" si="28"/>
        <v>164</v>
      </c>
      <c r="CC31" s="215">
        <v>0</v>
      </c>
      <c r="CD31" s="215">
        <v>0</v>
      </c>
      <c r="CE31" s="215">
        <v>1</v>
      </c>
      <c r="CF31" s="215">
        <v>6.3</v>
      </c>
      <c r="CG31" s="215">
        <v>164</v>
      </c>
      <c r="CH31" s="215">
        <v>0</v>
      </c>
      <c r="CI31" s="215">
        <f t="shared" si="29"/>
        <v>164</v>
      </c>
      <c r="CJ31" s="4">
        <f>600-361-164</f>
        <v>75</v>
      </c>
      <c r="CK31" s="4">
        <v>0</v>
      </c>
      <c r="CL31" s="49">
        <f t="shared" si="30"/>
        <v>350</v>
      </c>
      <c r="CM31" s="4">
        <v>199</v>
      </c>
      <c r="CN31" s="4">
        <f t="shared" si="46"/>
        <v>625</v>
      </c>
      <c r="CO31" s="22">
        <f t="shared" si="12"/>
        <v>0</v>
      </c>
      <c r="CP31" s="4">
        <v>574</v>
      </c>
      <c r="CQ31" s="4">
        <v>0</v>
      </c>
      <c r="CR31" s="4">
        <v>250</v>
      </c>
      <c r="CS31" s="4">
        <f t="shared" si="31"/>
        <v>933</v>
      </c>
      <c r="CT31" s="4"/>
      <c r="CU31" s="226">
        <f t="shared" si="32"/>
        <v>3006</v>
      </c>
      <c r="CV31" s="4">
        <v>733</v>
      </c>
      <c r="CW31" s="119">
        <f t="shared" si="41"/>
        <v>5392</v>
      </c>
      <c r="CX31" s="118">
        <f t="shared" si="33"/>
        <v>733</v>
      </c>
      <c r="CY31" s="118">
        <f t="shared" si="34"/>
        <v>6125</v>
      </c>
      <c r="CZ31" s="119">
        <f t="shared" si="35"/>
        <v>3006</v>
      </c>
      <c r="DA31" s="81"/>
      <c r="DB31" s="119">
        <f t="shared" si="36"/>
        <v>3119</v>
      </c>
      <c r="DC31" s="81">
        <v>4054</v>
      </c>
      <c r="DD31" s="128">
        <f t="shared" si="37"/>
        <v>625</v>
      </c>
      <c r="DE31" s="129">
        <f t="shared" si="38"/>
        <v>0</v>
      </c>
      <c r="DF31" s="128">
        <f t="shared" si="13"/>
        <v>494</v>
      </c>
      <c r="DG31" s="130">
        <f t="shared" si="14"/>
        <v>491</v>
      </c>
      <c r="DH31" s="130">
        <f t="shared" si="15"/>
        <v>164</v>
      </c>
      <c r="DI31" s="130">
        <f t="shared" si="39"/>
        <v>164</v>
      </c>
      <c r="DJ31" s="130">
        <f t="shared" si="44"/>
        <v>933</v>
      </c>
      <c r="DK31" s="130">
        <f>CL31</f>
        <v>350</v>
      </c>
      <c r="DL31" s="129">
        <f t="shared" si="40"/>
        <v>833</v>
      </c>
      <c r="DM31" s="200">
        <f t="shared" si="42"/>
        <v>2116</v>
      </c>
      <c r="DN31" s="63">
        <v>3119</v>
      </c>
      <c r="DO31" s="120">
        <v>9153</v>
      </c>
      <c r="DP31" s="122">
        <f t="shared" si="17"/>
        <v>1149</v>
      </c>
      <c r="DQ31" s="223"/>
    </row>
    <row r="32" spans="1:122" ht="18">
      <c r="A32" s="32">
        <f t="shared" si="18"/>
        <v>46203</v>
      </c>
      <c r="B32" s="34">
        <v>36</v>
      </c>
      <c r="C32" s="4"/>
      <c r="D32" s="4">
        <v>55</v>
      </c>
      <c r="E32" s="4">
        <v>76</v>
      </c>
      <c r="F32" s="4">
        <f t="shared" si="19"/>
        <v>167</v>
      </c>
      <c r="G32" s="4">
        <f t="shared" si="0"/>
        <v>1080</v>
      </c>
      <c r="H32" s="4">
        <f t="shared" si="1"/>
        <v>0</v>
      </c>
      <c r="I32" s="4">
        <f t="shared" si="2"/>
        <v>1650</v>
      </c>
      <c r="J32" s="4">
        <f t="shared" si="3"/>
        <v>2280</v>
      </c>
      <c r="K32" s="30">
        <f t="shared" si="4"/>
        <v>5010</v>
      </c>
      <c r="L32" s="52">
        <f t="shared" si="5"/>
        <v>1856</v>
      </c>
      <c r="M32" s="150">
        <v>2</v>
      </c>
      <c r="N32" s="123">
        <v>15.4</v>
      </c>
      <c r="O32" s="123">
        <v>24</v>
      </c>
      <c r="P32" s="123">
        <v>154.4</v>
      </c>
      <c r="Q32" s="123">
        <v>7</v>
      </c>
      <c r="R32" s="123">
        <v>20.3</v>
      </c>
      <c r="S32" s="203">
        <v>6.4</v>
      </c>
      <c r="T32" s="203">
        <v>51</v>
      </c>
      <c r="U32" s="203">
        <v>0</v>
      </c>
      <c r="V32" s="204">
        <f t="shared" si="20"/>
        <v>51</v>
      </c>
      <c r="W32" s="203">
        <v>23.2</v>
      </c>
      <c r="X32" s="203">
        <v>100</v>
      </c>
      <c r="Y32" s="123">
        <f t="shared" si="45"/>
        <v>127.10000000000001</v>
      </c>
      <c r="Z32" s="144">
        <v>0</v>
      </c>
      <c r="AA32" s="144">
        <v>6.2</v>
      </c>
      <c r="AB32" s="144">
        <v>9</v>
      </c>
      <c r="AC32" s="144">
        <v>63</v>
      </c>
      <c r="AD32" s="144">
        <v>1983.2400000000002</v>
      </c>
      <c r="AE32" s="144">
        <v>288</v>
      </c>
      <c r="AF32" s="123">
        <v>0.5</v>
      </c>
      <c r="AG32" s="123">
        <v>1.6</v>
      </c>
      <c r="AH32" s="123">
        <v>4</v>
      </c>
      <c r="AI32" s="123">
        <v>18</v>
      </c>
      <c r="AJ32" s="123">
        <f t="shared" si="22"/>
        <v>522</v>
      </c>
      <c r="AK32" s="123">
        <v>95</v>
      </c>
      <c r="AL32" s="144">
        <v>3</v>
      </c>
      <c r="AM32" s="144">
        <v>15.6</v>
      </c>
      <c r="AN32" s="144">
        <v>64</v>
      </c>
      <c r="AO32" s="144">
        <v>216</v>
      </c>
      <c r="AP32" s="187">
        <v>114</v>
      </c>
      <c r="AQ32" s="187">
        <v>102</v>
      </c>
      <c r="AR32" s="187">
        <f t="shared" si="23"/>
        <v>0</v>
      </c>
      <c r="AS32" s="188">
        <v>431</v>
      </c>
      <c r="AT32" s="55">
        <v>2</v>
      </c>
      <c r="AU32" s="55">
        <v>203</v>
      </c>
      <c r="AV32" s="55">
        <v>678</v>
      </c>
      <c r="AW32" s="55">
        <v>19.75</v>
      </c>
      <c r="AX32" s="55">
        <v>14.7</v>
      </c>
      <c r="AY32" s="55">
        <v>5.35</v>
      </c>
      <c r="AZ32" s="55">
        <v>5</v>
      </c>
      <c r="BA32" s="55">
        <v>2</v>
      </c>
      <c r="BB32" s="181">
        <v>860</v>
      </c>
      <c r="BC32" s="84">
        <v>420</v>
      </c>
      <c r="BD32" s="85">
        <f t="shared" si="24"/>
        <v>440</v>
      </c>
      <c r="BE32" s="100">
        <v>4</v>
      </c>
      <c r="BF32" s="100">
        <v>3.8</v>
      </c>
      <c r="BG32" s="100">
        <v>500</v>
      </c>
      <c r="BH32" s="100">
        <v>400</v>
      </c>
      <c r="BI32" s="100">
        <v>100</v>
      </c>
      <c r="BJ32" s="100">
        <v>1</v>
      </c>
      <c r="BK32" s="100">
        <v>4.3</v>
      </c>
      <c r="BL32" s="100">
        <v>0</v>
      </c>
      <c r="BM32" s="100">
        <v>175</v>
      </c>
      <c r="BN32" s="100">
        <f t="shared" si="25"/>
        <v>175</v>
      </c>
      <c r="BO32" s="126">
        <f t="shared" si="6"/>
        <v>9.35</v>
      </c>
      <c r="BP32" s="126">
        <f t="shared" si="7"/>
        <v>9</v>
      </c>
      <c r="BQ32" s="126">
        <f t="shared" si="8"/>
        <v>5.8</v>
      </c>
      <c r="BR32" s="126">
        <f t="shared" si="9"/>
        <v>1360</v>
      </c>
      <c r="BS32" s="126">
        <f t="shared" si="10"/>
        <v>19</v>
      </c>
      <c r="BT32" s="126">
        <f t="shared" si="26"/>
        <v>853</v>
      </c>
      <c r="BU32" s="126">
        <f t="shared" si="27"/>
        <v>1056</v>
      </c>
      <c r="BV32" s="77">
        <v>5</v>
      </c>
      <c r="BW32" s="77">
        <v>600</v>
      </c>
      <c r="BX32" s="77">
        <v>1</v>
      </c>
      <c r="BY32" s="77">
        <v>5.6</v>
      </c>
      <c r="BZ32" s="77">
        <v>60</v>
      </c>
      <c r="CA32" s="77">
        <v>40</v>
      </c>
      <c r="CB32" s="77">
        <f t="shared" si="28"/>
        <v>100</v>
      </c>
      <c r="CC32" s="215">
        <v>1.2</v>
      </c>
      <c r="CD32" s="215">
        <v>0</v>
      </c>
      <c r="CE32" s="215">
        <v>0</v>
      </c>
      <c r="CF32" s="215">
        <v>0</v>
      </c>
      <c r="CG32" s="215">
        <v>22</v>
      </c>
      <c r="CH32" s="215">
        <v>0</v>
      </c>
      <c r="CI32" s="215">
        <f t="shared" si="29"/>
        <v>22</v>
      </c>
      <c r="CJ32" s="4">
        <f>3039.16-179</f>
        <v>2860.16</v>
      </c>
      <c r="CK32" s="4">
        <f>660-28</f>
        <v>632</v>
      </c>
      <c r="CL32" s="49">
        <f t="shared" si="30"/>
        <v>431</v>
      </c>
      <c r="CM32" s="4">
        <v>0</v>
      </c>
      <c r="CN32" s="4">
        <f t="shared" si="46"/>
        <v>288</v>
      </c>
      <c r="CO32" s="22">
        <f t="shared" si="12"/>
        <v>95</v>
      </c>
      <c r="CP32" s="4"/>
      <c r="CQ32" s="4"/>
      <c r="CR32" s="4">
        <v>50</v>
      </c>
      <c r="CS32" s="4">
        <f t="shared" si="31"/>
        <v>100</v>
      </c>
      <c r="CT32" s="4"/>
      <c r="CU32" s="46">
        <f t="shared" si="32"/>
        <v>4456.16</v>
      </c>
      <c r="CV32" s="4">
        <v>2243.16</v>
      </c>
      <c r="CW32" s="119">
        <f t="shared" si="41"/>
        <v>3119</v>
      </c>
      <c r="CX32" s="118">
        <f t="shared" si="33"/>
        <v>2243.16</v>
      </c>
      <c r="CY32" s="118">
        <f t="shared" si="34"/>
        <v>5362.16</v>
      </c>
      <c r="CZ32" s="241">
        <f t="shared" si="35"/>
        <v>4456.16</v>
      </c>
      <c r="DA32" s="238"/>
      <c r="DB32" s="119">
        <f t="shared" si="36"/>
        <v>906</v>
      </c>
      <c r="DC32" s="242">
        <v>4177.16</v>
      </c>
      <c r="DD32" s="128">
        <f t="shared" si="37"/>
        <v>288</v>
      </c>
      <c r="DE32" s="129">
        <f t="shared" si="38"/>
        <v>95</v>
      </c>
      <c r="DF32" s="128">
        <f t="shared" si="13"/>
        <v>881</v>
      </c>
      <c r="DG32" s="130">
        <f t="shared" si="14"/>
        <v>175</v>
      </c>
      <c r="DH32" s="130">
        <f t="shared" si="15"/>
        <v>100</v>
      </c>
      <c r="DI32" s="130">
        <f t="shared" si="39"/>
        <v>22</v>
      </c>
      <c r="DJ32" s="130">
        <f t="shared" si="44"/>
        <v>100</v>
      </c>
      <c r="DK32" s="130">
        <f t="shared" si="43"/>
        <v>431</v>
      </c>
      <c r="DL32" s="129">
        <f t="shared" si="40"/>
        <v>2085.16</v>
      </c>
      <c r="DM32" s="200">
        <f t="shared" si="42"/>
        <v>2616.16</v>
      </c>
      <c r="DN32" s="183"/>
      <c r="DO32" s="120">
        <v>9432</v>
      </c>
      <c r="DP32" s="122">
        <f t="shared" si="17"/>
        <v>1156</v>
      </c>
      <c r="DQ32" s="223"/>
    </row>
    <row r="33" spans="1:121" ht="18.600000000000001" thickBot="1">
      <c r="A33" s="32">
        <f t="shared" si="18"/>
        <v>46204</v>
      </c>
      <c r="B33" s="27"/>
      <c r="C33" s="27"/>
      <c r="D33" s="27"/>
      <c r="E33" s="27"/>
      <c r="F33" s="4">
        <f t="shared" si="19"/>
        <v>0</v>
      </c>
      <c r="G33" s="4">
        <f t="shared" si="0"/>
        <v>0</v>
      </c>
      <c r="H33" s="4">
        <f t="shared" si="1"/>
        <v>0</v>
      </c>
      <c r="I33" s="4">
        <f t="shared" si="2"/>
        <v>0</v>
      </c>
      <c r="J33" s="4">
        <f t="shared" si="3"/>
        <v>0</v>
      </c>
      <c r="K33" s="30">
        <f t="shared" si="4"/>
        <v>0</v>
      </c>
      <c r="L33" s="52">
        <f t="shared" si="5"/>
        <v>0</v>
      </c>
      <c r="M33" s="153"/>
      <c r="N33" s="123"/>
      <c r="O33" s="123"/>
      <c r="P33" s="123"/>
      <c r="Q33" s="123"/>
      <c r="R33" s="123"/>
      <c r="S33" s="203"/>
      <c r="T33" s="203"/>
      <c r="U33" s="203"/>
      <c r="V33" s="204">
        <f t="shared" si="20"/>
        <v>0</v>
      </c>
      <c r="W33" s="203"/>
      <c r="X33" s="203"/>
      <c r="Y33" s="123">
        <f t="shared" si="45"/>
        <v>0</v>
      </c>
      <c r="Z33" s="145"/>
      <c r="AA33" s="145"/>
      <c r="AB33" s="145"/>
      <c r="AC33" s="145"/>
      <c r="AD33" s="145"/>
      <c r="AE33" s="145"/>
      <c r="AF33" s="124"/>
      <c r="AG33" s="124"/>
      <c r="AH33" s="124"/>
      <c r="AI33" s="124"/>
      <c r="AJ33" s="123">
        <f t="shared" si="22"/>
        <v>0</v>
      </c>
      <c r="AK33" s="124"/>
      <c r="AL33" s="145"/>
      <c r="AM33" s="145"/>
      <c r="AN33" s="145"/>
      <c r="AO33" s="145"/>
      <c r="AP33" s="189"/>
      <c r="AQ33" s="189"/>
      <c r="AR33" s="187">
        <f t="shared" si="23"/>
        <v>0</v>
      </c>
      <c r="AS33" s="191"/>
      <c r="AT33" s="92"/>
      <c r="AU33" s="92"/>
      <c r="AV33" s="92"/>
      <c r="AW33" s="92"/>
      <c r="AX33" s="92"/>
      <c r="AY33" s="92"/>
      <c r="AZ33" s="92"/>
      <c r="BA33" s="92"/>
      <c r="BB33" s="184"/>
      <c r="BC33" s="84"/>
      <c r="BD33" s="85">
        <f t="shared" si="24"/>
        <v>0</v>
      </c>
      <c r="BE33" s="100"/>
      <c r="BF33" s="100"/>
      <c r="BG33" s="100"/>
      <c r="BH33" s="103"/>
      <c r="BI33" s="103"/>
      <c r="BJ33" s="103"/>
      <c r="BK33" s="103"/>
      <c r="BL33" s="103"/>
      <c r="BM33" s="103"/>
      <c r="BN33" s="100">
        <f t="shared" si="25"/>
        <v>0</v>
      </c>
      <c r="BO33" s="126">
        <f t="shared" si="6"/>
        <v>0</v>
      </c>
      <c r="BP33" s="126">
        <f t="shared" si="7"/>
        <v>0</v>
      </c>
      <c r="BQ33" s="126">
        <f t="shared" si="8"/>
        <v>0</v>
      </c>
      <c r="BR33" s="126">
        <f t="shared" si="9"/>
        <v>0</v>
      </c>
      <c r="BS33" s="126">
        <f t="shared" si="10"/>
        <v>0</v>
      </c>
      <c r="BT33" s="126">
        <f t="shared" si="26"/>
        <v>0</v>
      </c>
      <c r="BU33" s="126">
        <f t="shared" si="27"/>
        <v>0</v>
      </c>
      <c r="BV33" s="79"/>
      <c r="BW33" s="79"/>
      <c r="BX33" s="77"/>
      <c r="BY33" s="77"/>
      <c r="BZ33" s="77"/>
      <c r="CA33" s="77"/>
      <c r="CB33" s="77">
        <f t="shared" si="28"/>
        <v>0</v>
      </c>
      <c r="CC33" s="218"/>
      <c r="CD33" s="218"/>
      <c r="CE33" s="218"/>
      <c r="CF33" s="218"/>
      <c r="CG33" s="218"/>
      <c r="CH33" s="218"/>
      <c r="CI33" s="215">
        <f t="shared" si="29"/>
        <v>0</v>
      </c>
      <c r="CJ33" s="27"/>
      <c r="CK33" s="27"/>
      <c r="CL33" s="49">
        <f t="shared" si="30"/>
        <v>0</v>
      </c>
      <c r="CM33" s="27"/>
      <c r="CN33" s="4">
        <f t="shared" si="46"/>
        <v>0</v>
      </c>
      <c r="CO33" s="22">
        <f t="shared" si="12"/>
        <v>0</v>
      </c>
      <c r="CP33" s="27"/>
      <c r="CQ33" s="27"/>
      <c r="CR33" s="27"/>
      <c r="CS33" s="4">
        <f t="shared" si="31"/>
        <v>0</v>
      </c>
      <c r="CT33" s="4"/>
      <c r="CU33" s="226">
        <f t="shared" si="32"/>
        <v>0</v>
      </c>
      <c r="CV33" s="18"/>
      <c r="CW33" s="119">
        <f t="shared" si="41"/>
        <v>906</v>
      </c>
      <c r="CX33" s="118">
        <f t="shared" si="33"/>
        <v>0</v>
      </c>
      <c r="CY33" s="118">
        <f t="shared" si="34"/>
        <v>906</v>
      </c>
      <c r="CZ33" s="119">
        <f t="shared" si="35"/>
        <v>0</v>
      </c>
      <c r="DA33" s="238"/>
      <c r="DB33" s="119">
        <f t="shared" si="36"/>
        <v>906</v>
      </c>
      <c r="DC33" s="81"/>
      <c r="DD33" s="128">
        <f t="shared" si="37"/>
        <v>0</v>
      </c>
      <c r="DE33" s="129">
        <f t="shared" si="38"/>
        <v>0</v>
      </c>
      <c r="DF33" s="128">
        <f t="shared" si="13"/>
        <v>0</v>
      </c>
      <c r="DG33" s="130">
        <f t="shared" si="14"/>
        <v>0</v>
      </c>
      <c r="DH33" s="130">
        <f t="shared" si="15"/>
        <v>0</v>
      </c>
      <c r="DI33" s="130">
        <f t="shared" si="39"/>
        <v>0</v>
      </c>
      <c r="DJ33" s="130">
        <f t="shared" si="44"/>
        <v>0</v>
      </c>
      <c r="DK33" s="130">
        <f t="shared" si="43"/>
        <v>0</v>
      </c>
      <c r="DL33" s="129">
        <f t="shared" si="40"/>
        <v>0</v>
      </c>
      <c r="DM33" s="200">
        <f t="shared" si="42"/>
        <v>0</v>
      </c>
      <c r="DP33" s="122">
        <f t="shared" si="17"/>
        <v>0</v>
      </c>
      <c r="DQ33" s="223"/>
    </row>
    <row r="34" spans="1:121" ht="18.600000000000001" thickBot="1">
      <c r="A34" s="70" t="s">
        <v>27</v>
      </c>
      <c r="B34" s="71">
        <f t="shared" ref="B34:BD34" si="47">SUM(B3:B33)</f>
        <v>1123</v>
      </c>
      <c r="C34" s="71">
        <f t="shared" si="47"/>
        <v>746</v>
      </c>
      <c r="D34" s="71">
        <f t="shared" si="47"/>
        <v>1590</v>
      </c>
      <c r="E34" s="71">
        <f t="shared" si="47"/>
        <v>639</v>
      </c>
      <c r="F34" s="71">
        <f t="shared" si="47"/>
        <v>4098</v>
      </c>
      <c r="G34" s="71">
        <f t="shared" si="47"/>
        <v>33690</v>
      </c>
      <c r="H34" s="71">
        <f t="shared" si="47"/>
        <v>22380</v>
      </c>
      <c r="I34" s="26">
        <f t="shared" si="47"/>
        <v>47700</v>
      </c>
      <c r="J34" s="26">
        <f t="shared" si="47"/>
        <v>19170</v>
      </c>
      <c r="K34" s="26">
        <f>SUM(K3:K33)</f>
        <v>122940</v>
      </c>
      <c r="L34" s="26">
        <f t="shared" si="47"/>
        <v>45543</v>
      </c>
      <c r="M34" s="125"/>
      <c r="N34" s="125">
        <f t="shared" si="47"/>
        <v>508.00000000000006</v>
      </c>
      <c r="O34" s="125">
        <f t="shared" si="47"/>
        <v>477</v>
      </c>
      <c r="P34" s="125">
        <f t="shared" si="47"/>
        <v>3291.75</v>
      </c>
      <c r="Q34" s="125">
        <f t="shared" si="47"/>
        <v>142.5</v>
      </c>
      <c r="R34" s="125">
        <f t="shared" si="47"/>
        <v>516.28</v>
      </c>
      <c r="S34" s="205">
        <f t="shared" si="47"/>
        <v>136.1</v>
      </c>
      <c r="T34" s="205"/>
      <c r="U34" s="205"/>
      <c r="V34" s="205">
        <f t="shared" si="47"/>
        <v>955</v>
      </c>
      <c r="W34" s="205">
        <f t="shared" si="47"/>
        <v>440.9</v>
      </c>
      <c r="X34" s="205">
        <f t="shared" si="47"/>
        <v>8766</v>
      </c>
      <c r="Y34" s="125">
        <f t="shared" si="47"/>
        <v>2632.97</v>
      </c>
      <c r="Z34" s="125">
        <f t="shared" si="47"/>
        <v>40.5</v>
      </c>
      <c r="AA34" s="125">
        <f t="shared" si="47"/>
        <v>124.5</v>
      </c>
      <c r="AB34" s="125"/>
      <c r="AC34" s="125">
        <f t="shared" si="47"/>
        <v>1389</v>
      </c>
      <c r="AD34" s="125">
        <f t="shared" si="47"/>
        <v>46584.009999999987</v>
      </c>
      <c r="AE34" s="125">
        <f t="shared" si="47"/>
        <v>6802</v>
      </c>
      <c r="AF34" s="125"/>
      <c r="AG34" s="125"/>
      <c r="AH34" s="125"/>
      <c r="AI34" s="125">
        <f t="shared" si="47"/>
        <v>421</v>
      </c>
      <c r="AJ34" s="125">
        <f t="shared" si="47"/>
        <v>12209</v>
      </c>
      <c r="AK34" s="125">
        <f t="shared" si="47"/>
        <v>2252</v>
      </c>
      <c r="AL34" s="192"/>
      <c r="AM34" s="193">
        <f t="shared" si="47"/>
        <v>229.2</v>
      </c>
      <c r="AN34" s="193">
        <f t="shared" si="47"/>
        <v>1017</v>
      </c>
      <c r="AO34" s="193">
        <f t="shared" si="47"/>
        <v>3973.3999999999996</v>
      </c>
      <c r="AP34" s="193">
        <f t="shared" si="47"/>
        <v>970.2</v>
      </c>
      <c r="AQ34" s="193">
        <f t="shared" si="47"/>
        <v>2790.2</v>
      </c>
      <c r="AR34" s="193">
        <f t="shared" si="47"/>
        <v>213</v>
      </c>
      <c r="AS34" s="193">
        <f t="shared" si="47"/>
        <v>9243</v>
      </c>
      <c r="AT34" s="93">
        <f>SUM(AT3:AT33)</f>
        <v>86</v>
      </c>
      <c r="AU34" s="93">
        <f t="shared" si="47"/>
        <v>8961</v>
      </c>
      <c r="AV34" s="93">
        <f t="shared" si="47"/>
        <v>1246</v>
      </c>
      <c r="AW34" s="93">
        <f>SUM(AW3:AW33)</f>
        <v>29.97</v>
      </c>
      <c r="AX34" s="93">
        <f t="shared" si="47"/>
        <v>591.70000000000005</v>
      </c>
      <c r="AY34" s="93">
        <f t="shared" si="47"/>
        <v>175.80000000000004</v>
      </c>
      <c r="AZ34" s="93">
        <f t="shared" si="47"/>
        <v>188</v>
      </c>
      <c r="BA34" s="93">
        <f t="shared" si="47"/>
        <v>194</v>
      </c>
      <c r="BB34" s="195">
        <f>SUM(BB3:BB33)</f>
        <v>29834</v>
      </c>
      <c r="BC34" s="185">
        <f t="shared" si="47"/>
        <v>14904</v>
      </c>
      <c r="BD34" s="93">
        <f t="shared" si="47"/>
        <v>14930</v>
      </c>
      <c r="BE34" s="65">
        <f t="shared" ref="BE34:CB34" si="48">SUM(BE3:BE33)</f>
        <v>36</v>
      </c>
      <c r="BF34" s="65">
        <f t="shared" si="48"/>
        <v>35.5</v>
      </c>
      <c r="BG34" s="65">
        <f t="shared" si="48"/>
        <v>4500</v>
      </c>
      <c r="BH34" s="65">
        <f t="shared" si="48"/>
        <v>2650</v>
      </c>
      <c r="BI34" s="65">
        <f t="shared" si="48"/>
        <v>1850</v>
      </c>
      <c r="BJ34" s="65"/>
      <c r="BK34" s="65">
        <f t="shared" si="48"/>
        <v>77.999999999999986</v>
      </c>
      <c r="BL34" s="65">
        <f t="shared" si="48"/>
        <v>886</v>
      </c>
      <c r="BM34" s="65">
        <f t="shared" si="48"/>
        <v>1830</v>
      </c>
      <c r="BN34" s="65">
        <f t="shared" si="48"/>
        <v>2716</v>
      </c>
      <c r="BO34" s="65">
        <f t="shared" si="48"/>
        <v>211.8</v>
      </c>
      <c r="BP34" s="65">
        <f t="shared" si="48"/>
        <v>224</v>
      </c>
      <c r="BQ34" s="65">
        <f t="shared" si="48"/>
        <v>229.5</v>
      </c>
      <c r="BR34" s="65">
        <f t="shared" si="48"/>
        <v>34334</v>
      </c>
      <c r="BS34" s="65">
        <f t="shared" si="48"/>
        <v>669.7</v>
      </c>
      <c r="BT34" s="65">
        <f t="shared" si="48"/>
        <v>3076</v>
      </c>
      <c r="BU34" s="65">
        <f t="shared" si="48"/>
        <v>12923</v>
      </c>
      <c r="BV34" s="117">
        <f t="shared" si="48"/>
        <v>117.6</v>
      </c>
      <c r="BW34" s="117">
        <f t="shared" si="48"/>
        <v>15400</v>
      </c>
      <c r="BX34" s="117">
        <f t="shared" si="48"/>
        <v>23</v>
      </c>
      <c r="BY34" s="117"/>
      <c r="BZ34" s="117"/>
      <c r="CA34" s="117"/>
      <c r="CB34" s="117">
        <f t="shared" si="48"/>
        <v>3086</v>
      </c>
      <c r="CC34" s="219"/>
      <c r="CD34" s="219"/>
      <c r="CE34" s="219"/>
      <c r="CF34" s="219"/>
      <c r="CG34" s="219"/>
      <c r="CH34" s="219"/>
      <c r="CI34" s="219"/>
      <c r="CJ34" s="56">
        <f>SUM(CJ3:CJ33)</f>
        <v>36510.160000000003</v>
      </c>
      <c r="CK34" s="56">
        <f t="shared" ref="CK34:CV34" si="49">SUM(CK3:CK33)</f>
        <v>10354</v>
      </c>
      <c r="CL34" s="56">
        <f>SUM(CL3:CL33)</f>
        <v>9243</v>
      </c>
      <c r="CM34" s="56">
        <f t="shared" si="49"/>
        <v>3260</v>
      </c>
      <c r="CN34" s="56">
        <f t="shared" si="49"/>
        <v>6802</v>
      </c>
      <c r="CO34" s="56">
        <f t="shared" si="49"/>
        <v>2252</v>
      </c>
      <c r="CP34" s="56">
        <f t="shared" si="49"/>
        <v>2262</v>
      </c>
      <c r="CQ34" s="56">
        <f t="shared" si="49"/>
        <v>2938</v>
      </c>
      <c r="CR34" s="56"/>
      <c r="CS34" s="56">
        <f t="shared" si="49"/>
        <v>8766</v>
      </c>
      <c r="CT34" s="56"/>
      <c r="CU34" s="93">
        <f t="shared" si="49"/>
        <v>88793.16</v>
      </c>
      <c r="CV34" s="56">
        <f t="shared" si="49"/>
        <v>88580.160000000003</v>
      </c>
      <c r="CW34" s="82">
        <f t="shared" ref="CW34:DC34" si="50">SUM(CW3:CW33)</f>
        <v>32421</v>
      </c>
      <c r="CX34" s="82">
        <f t="shared" si="50"/>
        <v>88580.160000000003</v>
      </c>
      <c r="CY34" s="82">
        <f t="shared" si="50"/>
        <v>121001.16</v>
      </c>
      <c r="CZ34" s="82">
        <f t="shared" si="50"/>
        <v>88793.16</v>
      </c>
      <c r="DA34" s="82">
        <f t="shared" si="50"/>
        <v>0</v>
      </c>
      <c r="DB34" s="82">
        <f t="shared" si="50"/>
        <v>32208</v>
      </c>
      <c r="DC34" s="82">
        <f t="shared" si="50"/>
        <v>85693.16</v>
      </c>
      <c r="DD34" s="128">
        <f>SUM(DD3:DD33)</f>
        <v>6802</v>
      </c>
      <c r="DE34" s="128">
        <f t="shared" ref="DE34:DQ34" si="51">SUM(DE3:DE33)</f>
        <v>2252</v>
      </c>
      <c r="DF34" s="128">
        <f t="shared" si="51"/>
        <v>10207</v>
      </c>
      <c r="DG34" s="128">
        <f t="shared" si="51"/>
        <v>2716</v>
      </c>
      <c r="DH34" s="128">
        <f t="shared" si="51"/>
        <v>3086</v>
      </c>
      <c r="DI34" s="128"/>
      <c r="DJ34" s="130">
        <f>SUM(DJ20:DJ33)</f>
        <v>3159</v>
      </c>
      <c r="DK34" s="128">
        <f t="shared" si="51"/>
        <v>9243</v>
      </c>
      <c r="DL34" s="128">
        <f t="shared" si="51"/>
        <v>37443.160000000003</v>
      </c>
      <c r="DM34" s="128">
        <f t="shared" si="51"/>
        <v>55452.160000000003</v>
      </c>
      <c r="DN34" s="66">
        <f t="shared" si="51"/>
        <v>28659</v>
      </c>
      <c r="DO34" s="66">
        <f t="shared" si="51"/>
        <v>214856</v>
      </c>
      <c r="DP34" s="66">
        <f t="shared" si="51"/>
        <v>16009</v>
      </c>
      <c r="DQ34" s="221">
        <f t="shared" si="51"/>
        <v>730</v>
      </c>
    </row>
    <row r="35" spans="1:121" ht="14.4" customHeight="1">
      <c r="A35" s="72" t="s">
        <v>104</v>
      </c>
      <c r="B35" s="73" t="s">
        <v>103</v>
      </c>
      <c r="C35" s="73" t="s">
        <v>33</v>
      </c>
      <c r="D35" s="73" t="s">
        <v>101</v>
      </c>
      <c r="E35" s="73" t="s">
        <v>55</v>
      </c>
      <c r="F35" s="73" t="s">
        <v>102</v>
      </c>
      <c r="G35" s="73" t="s">
        <v>55</v>
      </c>
      <c r="H35" s="73" t="s">
        <v>68</v>
      </c>
      <c r="I35" s="14"/>
      <c r="J35" s="14"/>
      <c r="K35" s="14">
        <f>K34-V35</f>
        <v>94290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>
        <f>V34*30</f>
        <v>28650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42" t="s">
        <v>63</v>
      </c>
      <c r="AN35" s="36" t="s">
        <v>63</v>
      </c>
      <c r="AO35" s="36" t="s">
        <v>64</v>
      </c>
      <c r="AP35" s="50"/>
      <c r="AQ35" s="50"/>
      <c r="AR35" s="50"/>
      <c r="AS35" s="50"/>
      <c r="AT35" s="50"/>
      <c r="AU35" s="50"/>
      <c r="AV35" s="50"/>
      <c r="AW35" s="55"/>
      <c r="AX35" s="50"/>
      <c r="AY35" s="55"/>
      <c r="AZ35" s="55"/>
      <c r="BA35" s="55"/>
      <c r="BB35" s="46">
        <f>CK34/BB34</f>
        <v>0.34705369712408662</v>
      </c>
      <c r="BC35" s="19"/>
      <c r="BD35" s="20"/>
      <c r="BE35" s="57"/>
      <c r="BF35" s="372"/>
      <c r="BG35" s="372"/>
      <c r="BH35" s="57"/>
      <c r="BI35" s="57"/>
      <c r="BJ35" s="57"/>
      <c r="BK35" s="57"/>
      <c r="BL35" s="57"/>
      <c r="BM35" s="95"/>
      <c r="BN35" s="95"/>
      <c r="BO35" s="95"/>
      <c r="BP35" s="95"/>
      <c r="BQ35" s="95"/>
      <c r="BR35" s="95"/>
      <c r="BS35" s="95"/>
      <c r="BT35" s="95"/>
      <c r="BU35" s="95"/>
      <c r="BV35" s="60"/>
      <c r="BW35" s="60"/>
      <c r="BX35" s="60"/>
      <c r="BY35" s="60"/>
      <c r="BZ35" s="60"/>
      <c r="CA35" s="60"/>
      <c r="CB35" s="95"/>
      <c r="CC35" s="220"/>
      <c r="CD35" s="220"/>
      <c r="CE35" s="220"/>
      <c r="CF35" s="220"/>
      <c r="CG35" s="220"/>
      <c r="CH35" s="220"/>
      <c r="CI35" s="220"/>
      <c r="CJ35" s="25" t="s">
        <v>26</v>
      </c>
      <c r="CK35" s="375">
        <f>+CW3</f>
        <v>1119</v>
      </c>
      <c r="CL35" s="376"/>
      <c r="CM35" s="142"/>
      <c r="CN35" s="142"/>
      <c r="CO35" s="142"/>
      <c r="CP35" s="142"/>
      <c r="CQ35" s="142"/>
      <c r="CR35" s="142"/>
      <c r="CS35" s="142"/>
      <c r="CT35" s="142"/>
      <c r="CU35" s="227"/>
      <c r="CV35" s="142"/>
      <c r="CW35" s="61"/>
      <c r="CX35" s="61"/>
      <c r="CY35" s="61"/>
      <c r="CZ35" s="61"/>
      <c r="DA35" s="61"/>
      <c r="DB35" s="61"/>
      <c r="DC35" s="61"/>
    </row>
    <row r="36" spans="1:121" ht="14.4" customHeight="1">
      <c r="A36" s="72" t="s">
        <v>134</v>
      </c>
      <c r="B36" s="73">
        <f>220000/25</f>
        <v>8800</v>
      </c>
      <c r="C36" s="73">
        <v>50000</v>
      </c>
      <c r="D36" s="73"/>
      <c r="E36" s="73"/>
      <c r="F36" s="73">
        <v>15000</v>
      </c>
      <c r="G36" s="73"/>
      <c r="H36" s="7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42"/>
      <c r="AN36" s="36"/>
      <c r="AO36" s="36"/>
      <c r="AP36" s="50"/>
      <c r="AQ36" s="50"/>
      <c r="AR36" s="50"/>
      <c r="AS36" s="50"/>
      <c r="AT36" s="50"/>
      <c r="AU36" s="50"/>
      <c r="AV36" s="50"/>
      <c r="AW36" s="55"/>
      <c r="AX36" s="50"/>
      <c r="AY36" s="55"/>
      <c r="AZ36" s="55"/>
      <c r="BA36" s="55"/>
      <c r="BB36" s="46"/>
      <c r="BC36" s="19"/>
      <c r="BD36" s="20"/>
      <c r="BE36" s="57"/>
      <c r="BF36" s="373"/>
      <c r="BG36" s="373"/>
      <c r="BH36" s="57"/>
      <c r="BI36" s="57"/>
      <c r="BJ36" s="57"/>
      <c r="BK36" s="57"/>
      <c r="BL36" s="57"/>
      <c r="BM36" s="95"/>
      <c r="BN36" s="95"/>
      <c r="BO36" s="95"/>
      <c r="BP36" s="95"/>
      <c r="BQ36" s="95"/>
      <c r="BR36" s="95"/>
      <c r="BS36" s="95"/>
      <c r="BT36" s="95"/>
      <c r="BU36" s="95"/>
      <c r="BV36" s="60"/>
      <c r="BW36" s="60"/>
      <c r="BX36" s="60"/>
      <c r="BY36" s="60"/>
      <c r="BZ36" s="60"/>
      <c r="CA36" s="60"/>
      <c r="CB36" s="95"/>
      <c r="CC36" s="220"/>
      <c r="CD36" s="220"/>
      <c r="CE36" s="220"/>
      <c r="CF36" s="220"/>
      <c r="CG36" s="220"/>
      <c r="CH36" s="220"/>
      <c r="CI36" s="220"/>
      <c r="CJ36" s="25"/>
      <c r="CK36" s="12"/>
      <c r="CL36" s="194"/>
      <c r="CM36" s="142"/>
      <c r="CN36" s="142"/>
      <c r="CO36" s="142"/>
      <c r="CP36" s="142">
        <v>1115</v>
      </c>
      <c r="CQ36" s="142"/>
      <c r="CR36" s="142"/>
      <c r="CS36" s="142"/>
      <c r="CT36" s="240">
        <f>CU32-CT37</f>
        <v>0</v>
      </c>
      <c r="CU36" s="227"/>
      <c r="CV36" s="142"/>
      <c r="CW36" s="61"/>
      <c r="CX36" s="61"/>
      <c r="CY36" s="61"/>
      <c r="CZ36" s="61"/>
      <c r="DA36" s="61"/>
      <c r="DB36" s="239"/>
      <c r="DC36" s="61"/>
    </row>
    <row r="37" spans="1:121" ht="15.6">
      <c r="A37" s="74" t="s">
        <v>105</v>
      </c>
      <c r="B37" s="75">
        <f>B36/30</f>
        <v>293.33333333333331</v>
      </c>
      <c r="C37" s="75">
        <f t="shared" ref="C37:F37" si="52">C36/25</f>
        <v>2000</v>
      </c>
      <c r="D37" s="75">
        <f t="shared" si="52"/>
        <v>0</v>
      </c>
      <c r="E37" s="75">
        <f t="shared" si="52"/>
        <v>0</v>
      </c>
      <c r="F37" s="75">
        <f t="shared" si="52"/>
        <v>600</v>
      </c>
      <c r="G37" s="75">
        <f>E37+F37</f>
        <v>600</v>
      </c>
      <c r="H37" s="76">
        <v>3000</v>
      </c>
      <c r="I37" s="41"/>
      <c r="J37" s="41"/>
      <c r="K37" s="15"/>
      <c r="L37" s="15"/>
      <c r="M37" s="15"/>
      <c r="N37" s="68"/>
      <c r="O37" s="69"/>
      <c r="P37" s="6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4"/>
      <c r="AJ37" s="15"/>
      <c r="AK37" s="15"/>
      <c r="AL37" s="15"/>
      <c r="AM37" s="43" t="e">
        <f>#REF!/AM34</f>
        <v>#REF!</v>
      </c>
      <c r="AN37" s="28" t="e">
        <f>#REF!/AN34</f>
        <v>#REF!</v>
      </c>
      <c r="AO37" s="29" t="e">
        <f>#REF!/AO34</f>
        <v>#REF!</v>
      </c>
      <c r="AP37" s="51"/>
      <c r="AQ37" s="51"/>
      <c r="AR37" s="51"/>
      <c r="AS37" s="51"/>
      <c r="AT37" s="96"/>
      <c r="AU37" s="96"/>
      <c r="AV37" s="96"/>
      <c r="AW37" s="3"/>
      <c r="AX37" s="96"/>
      <c r="AY37" s="3"/>
      <c r="AZ37" s="3"/>
      <c r="BA37" s="3"/>
      <c r="BB37" s="17">
        <f>(CJ34+CL34+CM34)/K34</f>
        <v>0.39867545143972671</v>
      </c>
      <c r="BC37" s="9">
        <f>BC34-BC35</f>
        <v>14904</v>
      </c>
      <c r="BD37" s="98">
        <f>BD34-BD35</f>
        <v>14930</v>
      </c>
      <c r="BE37" s="58"/>
      <c r="BF37" s="373"/>
      <c r="BG37" s="373"/>
      <c r="BH37" s="58"/>
      <c r="BI37" s="58"/>
      <c r="BJ37" s="58"/>
      <c r="BK37" s="58"/>
      <c r="BL37" s="58"/>
      <c r="BM37" s="96"/>
      <c r="BN37" s="96"/>
      <c r="BO37" s="96"/>
      <c r="BP37" s="96"/>
      <c r="BQ37" s="96"/>
      <c r="BR37" s="96"/>
      <c r="BS37" s="96"/>
      <c r="BT37" s="96"/>
      <c r="BU37" s="96"/>
      <c r="BV37" s="61"/>
      <c r="BW37" s="61"/>
      <c r="BX37" s="61"/>
      <c r="BY37" s="61"/>
      <c r="BZ37" s="61"/>
      <c r="CA37" s="61"/>
      <c r="CB37" s="96"/>
      <c r="CC37" s="80"/>
      <c r="CD37" s="80"/>
      <c r="CE37" s="80"/>
      <c r="CF37" s="80"/>
      <c r="CG37" s="80"/>
      <c r="CH37" s="80"/>
      <c r="CI37" s="80"/>
      <c r="CJ37" s="4" t="s">
        <v>47</v>
      </c>
      <c r="CK37" s="377">
        <f>CU34+DA34</f>
        <v>88793.16</v>
      </c>
      <c r="CL37" s="377"/>
      <c r="CM37" s="18"/>
      <c r="CN37" s="18"/>
      <c r="CO37" s="4" t="s">
        <v>57</v>
      </c>
      <c r="CP37" s="18">
        <v>227</v>
      </c>
      <c r="CQ37" s="18"/>
      <c r="CR37" s="18"/>
      <c r="CS37" s="18"/>
      <c r="CT37" s="18">
        <v>4456.16</v>
      </c>
      <c r="CU37" s="55" t="s">
        <v>26</v>
      </c>
      <c r="CV37" s="38">
        <f>CW3</f>
        <v>1119</v>
      </c>
      <c r="CW37" s="61"/>
      <c r="CX37" s="61"/>
      <c r="CY37" s="61"/>
      <c r="CZ37" s="61"/>
      <c r="DA37" s="61"/>
      <c r="DB37" s="61"/>
      <c r="DC37" s="61"/>
      <c r="DF37" s="20"/>
    </row>
    <row r="38" spans="1:121" ht="15.6">
      <c r="A38" s="41"/>
      <c r="B38" s="104"/>
      <c r="C38" s="104"/>
      <c r="D38" s="104"/>
      <c r="E38" s="104"/>
      <c r="F38" s="104"/>
      <c r="G38" s="41"/>
      <c r="H38" s="105"/>
      <c r="I38" s="106"/>
      <c r="J38" s="106"/>
      <c r="K38" s="107"/>
      <c r="L38" s="107"/>
      <c r="M38" s="107"/>
      <c r="N38" s="108"/>
      <c r="O38" s="108"/>
      <c r="P38" s="108"/>
      <c r="Q38" s="108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6"/>
      <c r="AN38" s="16"/>
      <c r="AO38" s="16"/>
      <c r="AP38" s="16"/>
      <c r="AQ38" s="16"/>
      <c r="AR38" s="16"/>
      <c r="AS38" s="16"/>
      <c r="AT38" s="15"/>
      <c r="AU38" s="15"/>
      <c r="AV38" s="15"/>
      <c r="AW38" s="38"/>
      <c r="AX38" s="15"/>
      <c r="AY38" s="38"/>
      <c r="AZ38" s="38"/>
      <c r="BA38" s="38"/>
      <c r="BB38" s="109">
        <f>CO34/AJ34</f>
        <v>0.18445409124416415</v>
      </c>
      <c r="BC38" s="9"/>
      <c r="BD38" s="14"/>
      <c r="BE38" s="110"/>
      <c r="BF38" s="110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4" t="s">
        <v>51</v>
      </c>
      <c r="CK38" s="377">
        <f>+CV34</f>
        <v>88580.160000000003</v>
      </c>
      <c r="CL38" s="377"/>
      <c r="CM38" s="18"/>
      <c r="CN38" s="18"/>
      <c r="CO38" s="4" t="s">
        <v>58</v>
      </c>
      <c r="CP38" s="18">
        <f>CP36-CP37</f>
        <v>888</v>
      </c>
      <c r="CQ38" s="18"/>
      <c r="CR38" s="18"/>
      <c r="CS38" s="18"/>
      <c r="CT38" s="18"/>
      <c r="CU38" s="55" t="s">
        <v>27</v>
      </c>
      <c r="CV38" s="38">
        <f>SUM(CV34:CV37)</f>
        <v>89699.16</v>
      </c>
      <c r="CW38" s="61"/>
      <c r="CX38" s="61"/>
      <c r="CY38" s="61"/>
      <c r="CZ38" s="61"/>
      <c r="DA38" s="61"/>
      <c r="DB38" s="61"/>
      <c r="DC38" s="61"/>
    </row>
    <row r="39" spans="1:121" ht="15.6">
      <c r="B39" s="111"/>
      <c r="C39" s="111"/>
      <c r="D39" s="111"/>
      <c r="E39" s="111"/>
      <c r="F39" s="111"/>
      <c r="AI39" s="1"/>
      <c r="AJ39" s="1"/>
      <c r="AK39" s="1"/>
      <c r="AL39" s="1"/>
      <c r="AT39" s="1"/>
      <c r="AU39" s="1"/>
      <c r="AV39" s="1"/>
      <c r="AW39" s="99"/>
      <c r="AX39" s="1"/>
      <c r="AY39" s="99"/>
      <c r="AZ39" s="99"/>
      <c r="BA39" s="99"/>
      <c r="BB39" s="109"/>
      <c r="BC39" s="21">
        <f>BB34/AU34</f>
        <v>3.3293159245619908</v>
      </c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96" t="s">
        <v>50</v>
      </c>
      <c r="CK39" s="374">
        <f>CK38+CK35-CK37</f>
        <v>906</v>
      </c>
      <c r="CL39" s="367"/>
      <c r="CM39" s="47"/>
      <c r="CN39" s="47"/>
      <c r="CO39" s="47"/>
      <c r="CP39" s="47"/>
      <c r="CQ39" s="47"/>
      <c r="CR39" s="47"/>
      <c r="CS39" s="47"/>
      <c r="CT39" s="47"/>
      <c r="CU39" s="228"/>
    </row>
    <row r="40" spans="1:121">
      <c r="B40" s="111"/>
      <c r="C40" s="111"/>
      <c r="D40" s="111"/>
      <c r="E40" s="111"/>
      <c r="F40" s="111"/>
      <c r="AI40" s="1"/>
      <c r="AJ40" s="1"/>
      <c r="AK40" s="1"/>
      <c r="AL40" s="1"/>
      <c r="AT40" s="1"/>
      <c r="AU40" s="1"/>
      <c r="AV40" s="1"/>
      <c r="AX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K40" s="1">
        <f>17+154</f>
        <v>171</v>
      </c>
    </row>
    <row r="41" spans="1:121">
      <c r="AI41" s="1"/>
      <c r="AJ41" s="1"/>
      <c r="AK41" s="1"/>
      <c r="AL41" s="1"/>
      <c r="AT41" s="1"/>
      <c r="AU41" s="1"/>
      <c r="AV41" s="1"/>
      <c r="AX41" s="1"/>
      <c r="BA41" s="112">
        <f>BB32+BG32</f>
        <v>1360</v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K41" s="1">
        <f>975-CK40</f>
        <v>804</v>
      </c>
    </row>
    <row r="42" spans="1:121">
      <c r="AI42" s="1"/>
      <c r="AJ42" s="1"/>
      <c r="AK42" s="1"/>
      <c r="AL42" s="1"/>
      <c r="AT42" s="1"/>
      <c r="AU42" s="1"/>
      <c r="AV42" s="1"/>
      <c r="AX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</row>
    <row r="43" spans="1:121">
      <c r="AI43" s="1"/>
      <c r="AJ43" s="1"/>
      <c r="AK43" s="1"/>
      <c r="AL43" s="1"/>
      <c r="AT43" s="1"/>
      <c r="AU43" s="1"/>
      <c r="AV43" s="1"/>
      <c r="AX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</row>
    <row r="44" spans="1:121">
      <c r="AI44" s="1"/>
      <c r="AJ44" s="1"/>
      <c r="AK44" s="1"/>
      <c r="AL44" s="1"/>
      <c r="AT44" s="1"/>
      <c r="AU44" s="1"/>
      <c r="AV44" s="1"/>
      <c r="AX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</row>
    <row r="45" spans="1:121">
      <c r="M45" s="230"/>
      <c r="AI45" s="1"/>
      <c r="AJ45" s="1"/>
      <c r="AK45" s="1"/>
      <c r="AL45" s="1"/>
      <c r="AT45" s="1"/>
      <c r="AU45" s="1"/>
      <c r="AV45" s="1"/>
      <c r="AX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</row>
    <row r="46" spans="1:121">
      <c r="AI46" s="1"/>
      <c r="AJ46" s="1"/>
      <c r="AK46" s="1"/>
      <c r="AL46" s="1"/>
      <c r="AT46" s="1"/>
      <c r="AU46" s="1"/>
      <c r="AV46" s="1"/>
      <c r="AX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</row>
    <row r="47" spans="1:121">
      <c r="AI47" s="1"/>
      <c r="AJ47" s="1"/>
      <c r="AK47" s="1"/>
      <c r="AL47" s="1"/>
      <c r="AT47" s="1"/>
      <c r="AU47" s="1"/>
      <c r="AV47" s="1"/>
      <c r="AX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</row>
    <row r="48" spans="1:121">
      <c r="AI48" s="1"/>
      <c r="AJ48" s="1"/>
      <c r="AK48" s="1"/>
      <c r="AL48" s="1"/>
      <c r="AT48" s="1"/>
      <c r="AU48" s="1"/>
      <c r="AV48" s="1"/>
      <c r="AX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</row>
    <row r="49" spans="35:87">
      <c r="AI49" s="1"/>
      <c r="AJ49" s="1"/>
      <c r="AK49" s="1"/>
      <c r="AL49" s="1"/>
      <c r="AT49" s="1"/>
      <c r="AU49" s="1"/>
      <c r="AV49" s="1"/>
      <c r="AX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</row>
    <row r="50" spans="35:87">
      <c r="AI50" s="1"/>
      <c r="AJ50" s="1"/>
      <c r="AK50" s="1"/>
      <c r="AL50" s="1"/>
      <c r="AT50" s="1"/>
      <c r="AU50" s="1"/>
      <c r="AV50" s="1"/>
      <c r="AX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</row>
    <row r="51" spans="35:87">
      <c r="AI51" s="1"/>
      <c r="AJ51" s="1"/>
      <c r="AK51" s="1"/>
      <c r="AL51" s="1"/>
      <c r="AT51" s="1"/>
      <c r="AU51" s="1"/>
      <c r="AV51" s="1"/>
      <c r="AX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</row>
    <row r="52" spans="35:87">
      <c r="AI52" s="1"/>
      <c r="AJ52" s="1"/>
      <c r="AK52" s="1"/>
      <c r="AL52" s="1"/>
      <c r="AT52" s="1"/>
      <c r="AU52" s="1"/>
      <c r="AV52" s="1"/>
      <c r="AX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</row>
    <row r="53" spans="35:87">
      <c r="AI53" s="1"/>
      <c r="AJ53" s="1"/>
      <c r="AK53" s="1"/>
      <c r="AL53" s="1"/>
      <c r="AT53" s="1"/>
      <c r="AU53" s="1"/>
      <c r="AV53" s="1"/>
      <c r="AX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</row>
    <row r="54" spans="35:87">
      <c r="AI54" s="1"/>
      <c r="AJ54" s="1"/>
      <c r="AK54" s="1"/>
      <c r="AL54" s="1"/>
      <c r="AT54" s="1"/>
      <c r="AU54" s="1"/>
      <c r="AV54" s="1"/>
      <c r="AX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</row>
    <row r="55" spans="35:87">
      <c r="AI55" s="1"/>
      <c r="AJ55" s="1"/>
      <c r="AK55" s="1"/>
      <c r="AL55" s="1"/>
      <c r="AT55" s="1"/>
      <c r="AU55" s="1"/>
      <c r="AV55" s="1"/>
      <c r="AX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</row>
    <row r="56" spans="35:87">
      <c r="AI56" s="1"/>
      <c r="AJ56" s="1"/>
      <c r="AK56" s="1"/>
      <c r="AL56" s="1"/>
      <c r="AT56" s="1"/>
      <c r="AU56" s="1"/>
      <c r="AV56" s="1"/>
      <c r="AX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</row>
    <row r="57" spans="35:87">
      <c r="AI57" s="1"/>
      <c r="AJ57" s="1"/>
      <c r="AK57" s="1"/>
      <c r="AL57" s="1"/>
      <c r="AT57" s="1"/>
      <c r="AU57" s="1"/>
      <c r="AV57" s="1"/>
      <c r="AX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</row>
    <row r="58" spans="35:87">
      <c r="AI58" s="1"/>
      <c r="AJ58" s="1"/>
      <c r="AK58" s="1"/>
      <c r="AL58" s="1"/>
      <c r="AT58" s="1"/>
      <c r="AU58" s="1"/>
      <c r="AV58" s="1"/>
      <c r="AX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</row>
    <row r="59" spans="35:87">
      <c r="AI59" s="1"/>
      <c r="AJ59" s="1"/>
      <c r="AK59" s="1"/>
      <c r="AL59" s="1"/>
      <c r="AT59" s="1"/>
      <c r="AU59" s="1"/>
      <c r="AV59" s="1"/>
      <c r="AX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</row>
    <row r="60" spans="35:87">
      <c r="AI60" s="1"/>
      <c r="AJ60" s="1"/>
      <c r="AK60" s="1"/>
      <c r="AL60" s="1"/>
      <c r="AT60" s="1"/>
      <c r="AU60" s="1"/>
      <c r="AV60" s="1"/>
      <c r="AX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</row>
    <row r="61" spans="35:87">
      <c r="AI61" s="1"/>
      <c r="AJ61" s="1"/>
      <c r="AK61" s="1"/>
      <c r="AL61" s="1"/>
      <c r="AT61" s="1"/>
      <c r="AU61" s="1"/>
      <c r="AV61" s="1"/>
      <c r="AX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</row>
    <row r="62" spans="35:87">
      <c r="AI62" s="1"/>
      <c r="AJ62" s="1"/>
      <c r="AK62" s="1"/>
      <c r="AL62" s="1"/>
      <c r="AT62" s="1"/>
      <c r="AU62" s="1"/>
      <c r="AV62" s="1"/>
      <c r="AX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</row>
    <row r="63" spans="35:87">
      <c r="AI63" s="1"/>
      <c r="AJ63" s="1"/>
      <c r="AK63" s="1"/>
      <c r="AL63" s="1"/>
      <c r="AT63" s="1"/>
      <c r="AU63" s="1"/>
      <c r="AV63" s="1"/>
      <c r="AX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</row>
    <row r="64" spans="35:87">
      <c r="AI64" s="1"/>
      <c r="AJ64" s="1"/>
      <c r="AK64" s="1"/>
      <c r="AL64" s="1"/>
      <c r="AT64" s="1"/>
      <c r="AU64" s="1"/>
      <c r="AV64" s="1"/>
      <c r="AX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</row>
    <row r="65" spans="35:87">
      <c r="AI65" s="1"/>
      <c r="AJ65" s="1"/>
      <c r="AK65" s="1"/>
      <c r="AL65" s="1"/>
      <c r="AT65" s="1"/>
      <c r="AU65" s="1"/>
      <c r="AV65" s="1"/>
      <c r="AX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</row>
    <row r="66" spans="35:87">
      <c r="AI66" s="1"/>
      <c r="AJ66" s="1"/>
      <c r="AK66" s="1"/>
      <c r="AL66" s="1"/>
      <c r="AT66" s="1"/>
      <c r="AU66" s="1"/>
      <c r="AV66" s="1"/>
      <c r="AX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</row>
    <row r="67" spans="35:87">
      <c r="AI67" s="1"/>
      <c r="AJ67" s="1"/>
      <c r="AK67" s="1"/>
      <c r="AL67" s="1"/>
      <c r="AT67" s="1"/>
      <c r="AU67" s="1"/>
      <c r="AV67" s="1"/>
      <c r="AX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</row>
    <row r="68" spans="35:87">
      <c r="AI68" s="1"/>
      <c r="AJ68" s="1"/>
      <c r="AK68" s="1"/>
      <c r="AL68" s="1"/>
      <c r="AT68" s="1"/>
      <c r="AU68" s="1"/>
      <c r="AV68" s="1"/>
      <c r="AX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</row>
    <row r="69" spans="35:87">
      <c r="AI69" s="1"/>
      <c r="AJ69" s="1"/>
      <c r="AK69" s="1"/>
      <c r="AL69" s="1"/>
      <c r="AT69" s="1"/>
      <c r="AU69" s="1"/>
      <c r="AV69" s="1"/>
      <c r="AX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</row>
    <row r="70" spans="35:87">
      <c r="AI70" s="1"/>
      <c r="AJ70" s="1"/>
      <c r="AK70" s="1"/>
      <c r="AL70" s="1"/>
      <c r="AT70" s="1"/>
      <c r="AU70" s="1"/>
      <c r="AV70" s="1"/>
      <c r="AX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</row>
    <row r="71" spans="35:87">
      <c r="AI71" s="1"/>
      <c r="AJ71" s="1"/>
      <c r="AK71" s="1"/>
      <c r="AL71" s="1"/>
      <c r="AT71" s="1"/>
      <c r="AU71" s="1"/>
      <c r="AV71" s="1"/>
      <c r="AX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</row>
    <row r="72" spans="35:87">
      <c r="AI72" s="1"/>
      <c r="AJ72" s="1"/>
      <c r="AK72" s="1"/>
      <c r="AL72" s="1"/>
      <c r="AT72" s="1"/>
      <c r="AU72" s="1"/>
      <c r="AV72" s="1"/>
      <c r="AX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</row>
    <row r="73" spans="35:87">
      <c r="AI73" s="1"/>
      <c r="AJ73" s="1"/>
      <c r="AK73" s="1"/>
      <c r="AL73" s="1"/>
      <c r="AT73" s="1"/>
      <c r="AU73" s="1"/>
      <c r="AV73" s="1"/>
      <c r="AX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</row>
    <row r="74" spans="35:87">
      <c r="AI74" s="1"/>
      <c r="AJ74" s="1"/>
      <c r="AK74" s="1"/>
      <c r="AL74" s="1"/>
      <c r="AT74" s="1"/>
      <c r="AU74" s="1"/>
      <c r="AV74" s="1"/>
      <c r="AX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</row>
    <row r="75" spans="35:87">
      <c r="AI75" s="1"/>
      <c r="AJ75" s="1"/>
      <c r="AK75" s="1"/>
      <c r="AL75" s="1"/>
      <c r="AT75" s="1"/>
      <c r="AU75" s="1"/>
      <c r="AV75" s="1"/>
      <c r="AX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</row>
    <row r="76" spans="35:87">
      <c r="AI76" s="1"/>
      <c r="AJ76" s="1"/>
      <c r="AK76" s="1"/>
      <c r="AL76" s="1"/>
      <c r="AT76" s="1"/>
      <c r="AU76" s="1"/>
      <c r="AV76" s="1"/>
      <c r="AX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</row>
    <row r="77" spans="35:87">
      <c r="AI77" s="1"/>
      <c r="AJ77" s="1"/>
      <c r="AK77" s="1"/>
      <c r="AL77" s="1"/>
      <c r="AT77" s="1"/>
      <c r="AU77" s="1"/>
      <c r="AV77" s="1"/>
      <c r="AX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</row>
    <row r="78" spans="35:87">
      <c r="AI78" s="1"/>
      <c r="AJ78" s="1"/>
      <c r="AK78" s="1"/>
      <c r="AL78" s="1"/>
      <c r="AT78" s="1"/>
      <c r="AU78" s="1"/>
      <c r="AV78" s="1"/>
      <c r="AX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</row>
    <row r="79" spans="35:87">
      <c r="AI79" s="1"/>
      <c r="AJ79" s="1"/>
      <c r="AK79" s="1"/>
      <c r="AL79" s="1"/>
      <c r="AT79" s="1"/>
      <c r="AU79" s="1"/>
      <c r="AV79" s="1"/>
      <c r="AX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</row>
    <row r="80" spans="35:87">
      <c r="AI80" s="1"/>
      <c r="AJ80" s="1"/>
      <c r="AK80" s="1"/>
      <c r="AL80" s="1"/>
      <c r="AT80" s="1"/>
      <c r="AU80" s="1"/>
      <c r="AV80" s="1"/>
      <c r="AX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</row>
    <row r="81" spans="35:87">
      <c r="AI81" s="1"/>
      <c r="AJ81" s="1"/>
      <c r="AK81" s="1"/>
      <c r="AL81" s="1"/>
      <c r="AT81" s="1"/>
      <c r="AU81" s="1"/>
      <c r="AV81" s="1"/>
      <c r="AX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</row>
    <row r="82" spans="35:87">
      <c r="AI82" s="1"/>
      <c r="AJ82" s="1"/>
      <c r="AK82" s="1"/>
      <c r="AL82" s="1"/>
      <c r="AT82" s="1"/>
      <c r="AU82" s="1"/>
      <c r="AV82" s="1"/>
      <c r="AX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</row>
    <row r="83" spans="35:87">
      <c r="AI83" s="1"/>
      <c r="AJ83" s="1"/>
      <c r="AK83" s="1"/>
      <c r="AL83" s="1"/>
      <c r="AT83" s="1"/>
      <c r="AU83" s="1"/>
      <c r="AV83" s="1"/>
      <c r="AX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</row>
    <row r="84" spans="35:87">
      <c r="AI84" s="1"/>
      <c r="AJ84" s="1"/>
      <c r="AK84" s="1"/>
      <c r="AL84" s="1"/>
      <c r="AT84" s="1"/>
      <c r="AU84" s="1"/>
      <c r="AV84" s="1"/>
      <c r="AX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</row>
    <row r="85" spans="35:87">
      <c r="AI85" s="1"/>
      <c r="AJ85" s="1"/>
      <c r="AK85" s="1"/>
      <c r="AL85" s="1"/>
      <c r="AT85" s="1"/>
      <c r="AU85" s="1"/>
      <c r="AV85" s="1"/>
      <c r="AX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</row>
    <row r="86" spans="35:87">
      <c r="AI86" s="1"/>
      <c r="AJ86" s="1"/>
      <c r="AK86" s="1"/>
      <c r="AL86" s="1"/>
      <c r="AT86" s="1"/>
      <c r="AU86" s="1"/>
      <c r="AV86" s="1"/>
      <c r="AX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</row>
    <row r="87" spans="35:87">
      <c r="AI87" s="1"/>
      <c r="AJ87" s="1"/>
      <c r="AK87" s="1"/>
      <c r="AL87" s="1"/>
      <c r="AT87" s="1"/>
      <c r="AU87" s="1"/>
      <c r="AV87" s="1"/>
      <c r="AX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</row>
    <row r="88" spans="35:87">
      <c r="AI88" s="1"/>
      <c r="AJ88" s="1"/>
      <c r="AK88" s="1"/>
      <c r="AL88" s="1"/>
      <c r="AT88" s="1"/>
      <c r="AU88" s="1"/>
      <c r="AV88" s="1"/>
      <c r="AX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</row>
    <row r="89" spans="35:87">
      <c r="AI89" s="1"/>
      <c r="AJ89" s="1"/>
      <c r="AK89" s="1"/>
      <c r="AL89" s="1"/>
      <c r="AT89" s="1"/>
      <c r="AU89" s="1"/>
      <c r="AV89" s="1"/>
      <c r="AX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</row>
    <row r="90" spans="35:87">
      <c r="AI90" s="1"/>
      <c r="AJ90" s="1"/>
      <c r="AK90" s="1"/>
      <c r="AL90" s="1"/>
      <c r="AT90" s="1"/>
      <c r="AU90" s="1"/>
      <c r="AV90" s="1"/>
      <c r="AX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</row>
    <row r="91" spans="35:87">
      <c r="AI91" s="1"/>
      <c r="AJ91" s="1"/>
      <c r="AK91" s="1"/>
      <c r="AL91" s="1"/>
      <c r="AT91" s="1"/>
      <c r="AU91" s="1"/>
      <c r="AV91" s="1"/>
      <c r="AX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</row>
    <row r="92" spans="35:87">
      <c r="AI92" s="1"/>
      <c r="AJ92" s="1"/>
      <c r="AK92" s="1"/>
      <c r="AL92" s="1"/>
      <c r="AT92" s="1"/>
      <c r="AU92" s="1"/>
      <c r="AV92" s="1"/>
      <c r="AX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</row>
    <row r="93" spans="35:87">
      <c r="AI93" s="1"/>
      <c r="AJ93" s="1"/>
      <c r="AK93" s="1"/>
      <c r="AL93" s="1"/>
      <c r="AT93" s="1"/>
      <c r="AU93" s="1"/>
      <c r="AV93" s="1"/>
      <c r="AX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</row>
    <row r="94" spans="35:87">
      <c r="AI94" s="1"/>
      <c r="AJ94" s="1"/>
      <c r="AK94" s="1"/>
      <c r="AL94" s="1"/>
      <c r="AT94" s="1"/>
      <c r="AU94" s="1"/>
      <c r="AV94" s="1"/>
      <c r="AX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</row>
    <row r="95" spans="35:87">
      <c r="AI95" s="1"/>
      <c r="AJ95" s="1"/>
      <c r="AK95" s="1"/>
      <c r="AL95" s="1"/>
      <c r="AT95" s="1"/>
      <c r="AU95" s="1"/>
      <c r="AV95" s="1"/>
      <c r="AX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</row>
    <row r="96" spans="35:87">
      <c r="AI96" s="1"/>
      <c r="AJ96" s="1"/>
      <c r="AK96" s="1"/>
      <c r="AL96" s="1"/>
      <c r="AT96" s="1"/>
      <c r="AU96" s="1"/>
      <c r="AV96" s="1"/>
      <c r="AX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</row>
    <row r="97" spans="35:87">
      <c r="AI97" s="1"/>
      <c r="AJ97" s="1"/>
      <c r="AK97" s="1"/>
      <c r="AL97" s="1"/>
      <c r="AT97" s="1"/>
      <c r="AU97" s="1"/>
      <c r="AV97" s="1"/>
      <c r="AX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</row>
    <row r="98" spans="35:87">
      <c r="AI98" s="1"/>
      <c r="AJ98" s="1"/>
      <c r="AK98" s="1"/>
      <c r="AL98" s="1"/>
      <c r="AT98" s="1"/>
      <c r="AU98" s="1"/>
      <c r="AV98" s="1"/>
      <c r="AX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</row>
    <row r="99" spans="35:87">
      <c r="AI99" s="1"/>
      <c r="AJ99" s="1"/>
      <c r="AK99" s="1"/>
      <c r="AL99" s="1"/>
      <c r="AT99" s="1"/>
      <c r="AU99" s="1"/>
      <c r="AV99" s="1"/>
      <c r="AX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</row>
    <row r="100" spans="35:87">
      <c r="AI100" s="1"/>
      <c r="AJ100" s="1"/>
      <c r="AK100" s="1"/>
      <c r="AL100" s="1"/>
      <c r="AT100" s="1"/>
      <c r="AU100" s="1"/>
      <c r="AV100" s="1"/>
      <c r="AX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</row>
    <row r="101" spans="35:87">
      <c r="AI101" s="1"/>
      <c r="AJ101" s="1"/>
      <c r="AK101" s="1"/>
      <c r="AL101" s="1"/>
      <c r="AT101" s="1"/>
      <c r="AU101" s="1"/>
      <c r="AV101" s="1"/>
      <c r="AX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</row>
    <row r="102" spans="35:87">
      <c r="AI102" s="1"/>
      <c r="AJ102" s="1"/>
      <c r="AK102" s="1"/>
      <c r="AL102" s="1"/>
      <c r="AT102" s="1"/>
      <c r="AU102" s="1"/>
      <c r="AV102" s="1"/>
      <c r="AX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</row>
    <row r="103" spans="35:87">
      <c r="AI103" s="1"/>
      <c r="AJ103" s="1"/>
      <c r="AK103" s="1"/>
      <c r="AL103" s="1"/>
      <c r="AT103" s="1"/>
      <c r="AU103" s="1"/>
      <c r="AV103" s="1"/>
      <c r="AX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</row>
    <row r="104" spans="35:87">
      <c r="AI104" s="1"/>
      <c r="AJ104" s="1"/>
      <c r="AK104" s="1"/>
      <c r="AL104" s="1"/>
      <c r="AT104" s="1"/>
      <c r="AU104" s="1"/>
      <c r="AV104" s="1"/>
      <c r="AX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</row>
    <row r="105" spans="35:87">
      <c r="AI105" s="1"/>
      <c r="AJ105" s="1"/>
      <c r="AK105" s="1"/>
      <c r="AL105" s="1"/>
      <c r="AT105" s="1"/>
      <c r="AU105" s="1"/>
      <c r="AV105" s="1"/>
      <c r="AX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</row>
    <row r="106" spans="35:87">
      <c r="AI106" s="1"/>
      <c r="AJ106" s="1"/>
      <c r="AK106" s="1"/>
      <c r="AL106" s="1"/>
      <c r="AT106" s="1"/>
      <c r="AU106" s="1"/>
      <c r="AV106" s="1"/>
      <c r="AX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</row>
    <row r="107" spans="35:87">
      <c r="AI107" s="1"/>
      <c r="AJ107" s="1"/>
      <c r="AK107" s="1"/>
      <c r="AL107" s="1"/>
      <c r="AT107" s="1"/>
      <c r="AU107" s="1"/>
      <c r="AV107" s="1"/>
      <c r="AX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</row>
    <row r="108" spans="35:87">
      <c r="AI108" s="1"/>
      <c r="AJ108" s="1"/>
      <c r="AK108" s="1"/>
      <c r="AL108" s="1"/>
      <c r="AT108" s="1"/>
      <c r="AU108" s="1"/>
      <c r="AV108" s="1"/>
      <c r="AX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</row>
    <row r="109" spans="35:87">
      <c r="AI109" s="1"/>
      <c r="AJ109" s="1"/>
      <c r="AK109" s="1"/>
      <c r="AL109" s="1"/>
      <c r="AT109" s="1"/>
      <c r="AU109" s="1"/>
      <c r="AV109" s="1"/>
      <c r="AX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</row>
    <row r="110" spans="35:87">
      <c r="AI110" s="1"/>
      <c r="AJ110" s="1"/>
      <c r="AK110" s="1"/>
      <c r="AL110" s="1"/>
      <c r="AT110" s="1"/>
      <c r="AU110" s="1"/>
      <c r="AV110" s="1"/>
      <c r="AX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</row>
    <row r="111" spans="35:87">
      <c r="AI111" s="1"/>
      <c r="AJ111" s="1"/>
      <c r="AK111" s="1"/>
      <c r="AL111" s="1"/>
      <c r="AT111" s="1"/>
      <c r="AU111" s="1"/>
      <c r="AV111" s="1"/>
      <c r="AX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</row>
    <row r="112" spans="35:87">
      <c r="AI112" s="1"/>
      <c r="AJ112" s="1"/>
      <c r="AK112" s="1"/>
      <c r="AL112" s="1"/>
      <c r="AT112" s="1"/>
      <c r="AU112" s="1"/>
      <c r="AV112" s="1"/>
      <c r="AX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</row>
    <row r="113" spans="35:87">
      <c r="AI113" s="1"/>
      <c r="AJ113" s="1"/>
      <c r="AK113" s="1"/>
      <c r="AL113" s="1"/>
      <c r="AT113" s="1"/>
      <c r="AU113" s="1"/>
      <c r="AV113" s="1"/>
      <c r="AX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</row>
    <row r="114" spans="35:87">
      <c r="AI114" s="1"/>
      <c r="AJ114" s="1"/>
      <c r="AK114" s="1"/>
      <c r="AL114" s="1"/>
      <c r="AT114" s="1"/>
      <c r="AU114" s="1"/>
      <c r="AV114" s="1"/>
      <c r="AX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</row>
    <row r="115" spans="35:87">
      <c r="AI115" s="1"/>
      <c r="AJ115" s="1"/>
      <c r="AK115" s="1"/>
      <c r="AL115" s="1"/>
      <c r="AT115" s="1"/>
      <c r="AU115" s="1"/>
      <c r="AV115" s="1"/>
      <c r="AX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</row>
    <row r="116" spans="35:87">
      <c r="AI116" s="1"/>
      <c r="AJ116" s="1"/>
      <c r="AK116" s="1"/>
      <c r="AL116" s="1"/>
      <c r="AT116" s="1"/>
      <c r="AU116" s="1"/>
      <c r="AV116" s="1"/>
      <c r="AX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</row>
    <row r="117" spans="35:87">
      <c r="AI117" s="1"/>
      <c r="AJ117" s="1"/>
      <c r="AK117" s="1"/>
      <c r="AL117" s="1"/>
      <c r="AT117" s="1"/>
      <c r="AU117" s="1"/>
      <c r="AV117" s="1"/>
      <c r="AX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</row>
    <row r="118" spans="35:87">
      <c r="AI118" s="1"/>
      <c r="AJ118" s="1"/>
      <c r="AK118" s="1"/>
      <c r="AL118" s="1"/>
      <c r="AT118" s="1"/>
      <c r="AU118" s="1"/>
      <c r="AV118" s="1"/>
      <c r="AX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</row>
    <row r="119" spans="35:87">
      <c r="AI119" s="1"/>
      <c r="AJ119" s="1"/>
      <c r="AK119" s="1"/>
      <c r="AL119" s="1"/>
      <c r="AT119" s="1"/>
      <c r="AU119" s="1"/>
      <c r="AV119" s="1"/>
      <c r="AX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</row>
    <row r="120" spans="35:87">
      <c r="AI120" s="1"/>
      <c r="AJ120" s="1"/>
      <c r="AK120" s="1"/>
      <c r="AL120" s="1"/>
      <c r="AT120" s="1"/>
      <c r="AU120" s="1"/>
      <c r="AV120" s="1"/>
      <c r="AX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</row>
    <row r="121" spans="35:87">
      <c r="AI121" s="1"/>
      <c r="AJ121" s="1"/>
      <c r="AK121" s="1"/>
      <c r="AL121" s="1"/>
      <c r="AT121" s="1"/>
      <c r="AU121" s="1"/>
      <c r="AV121" s="1"/>
      <c r="AX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</row>
    <row r="122" spans="35:87">
      <c r="AI122" s="1"/>
      <c r="AJ122" s="1"/>
      <c r="AK122" s="1"/>
      <c r="AL122" s="1"/>
      <c r="AT122" s="1"/>
      <c r="AU122" s="1"/>
      <c r="AV122" s="1"/>
      <c r="AX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</row>
    <row r="123" spans="35:87">
      <c r="AI123" s="1"/>
      <c r="AJ123" s="1"/>
      <c r="AK123" s="1"/>
      <c r="AL123" s="1"/>
      <c r="AT123" s="1"/>
      <c r="AU123" s="1"/>
      <c r="AV123" s="1"/>
      <c r="AX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</row>
    <row r="124" spans="35:87">
      <c r="AI124" s="1"/>
      <c r="AJ124" s="1"/>
      <c r="AK124" s="1"/>
      <c r="AL124" s="1"/>
      <c r="AT124" s="1"/>
      <c r="AU124" s="1"/>
      <c r="AV124" s="1"/>
      <c r="AX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</row>
    <row r="125" spans="35:87">
      <c r="AI125" s="1"/>
      <c r="AJ125" s="1"/>
      <c r="AK125" s="1"/>
      <c r="AL125" s="1"/>
      <c r="AT125" s="1"/>
      <c r="AU125" s="1"/>
      <c r="AV125" s="1"/>
      <c r="AX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</row>
    <row r="126" spans="35:87">
      <c r="AI126" s="1"/>
      <c r="AJ126" s="1"/>
      <c r="AK126" s="1"/>
      <c r="AL126" s="1"/>
      <c r="AT126" s="1"/>
      <c r="AU126" s="1"/>
      <c r="AV126" s="1"/>
      <c r="AX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</row>
    <row r="127" spans="35:87">
      <c r="AI127" s="1"/>
      <c r="AJ127" s="1"/>
      <c r="AK127" s="1"/>
      <c r="AL127" s="1"/>
      <c r="AT127" s="1"/>
      <c r="AU127" s="1"/>
      <c r="AV127" s="1"/>
      <c r="AX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</row>
    <row r="128" spans="35:87">
      <c r="AI128" s="1"/>
      <c r="AJ128" s="1"/>
      <c r="AK128" s="1"/>
      <c r="AL128" s="1"/>
      <c r="AT128" s="1"/>
      <c r="AU128" s="1"/>
      <c r="AV128" s="1"/>
      <c r="AX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</row>
    <row r="129" spans="35:87">
      <c r="AI129" s="1"/>
      <c r="AJ129" s="1"/>
      <c r="AK129" s="1"/>
      <c r="AL129" s="1"/>
      <c r="AT129" s="1"/>
      <c r="AU129" s="1"/>
      <c r="AV129" s="1"/>
      <c r="AX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</row>
    <row r="130" spans="35:87">
      <c r="AI130" s="1"/>
      <c r="AJ130" s="1"/>
      <c r="AK130" s="1"/>
      <c r="AL130" s="1"/>
      <c r="AT130" s="1"/>
      <c r="AU130" s="1"/>
      <c r="AV130" s="1"/>
      <c r="AX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</row>
    <row r="131" spans="35:87">
      <c r="AI131" s="1"/>
      <c r="AJ131" s="1"/>
      <c r="AK131" s="1"/>
      <c r="AL131" s="1"/>
      <c r="AT131" s="1"/>
      <c r="AU131" s="1"/>
      <c r="AV131" s="1"/>
      <c r="AX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</row>
    <row r="132" spans="35:87">
      <c r="AI132" s="1"/>
      <c r="AJ132" s="1"/>
      <c r="AK132" s="1"/>
      <c r="AL132" s="1"/>
      <c r="AT132" s="1"/>
      <c r="AU132" s="1"/>
      <c r="AV132" s="1"/>
      <c r="AX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</row>
    <row r="133" spans="35:87">
      <c r="AI133" s="1"/>
      <c r="AJ133" s="1"/>
      <c r="AK133" s="1"/>
      <c r="AL133" s="1"/>
      <c r="AT133" s="1"/>
      <c r="AU133" s="1"/>
      <c r="AV133" s="1"/>
      <c r="AX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</row>
    <row r="134" spans="35:87">
      <c r="AI134" s="1"/>
      <c r="AJ134" s="1"/>
      <c r="AK134" s="1"/>
      <c r="AL134" s="1"/>
      <c r="AT134" s="1"/>
      <c r="AU134" s="1"/>
      <c r="AV134" s="1"/>
      <c r="AX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</row>
    <row r="135" spans="35:87">
      <c r="AI135" s="1"/>
      <c r="AJ135" s="1"/>
      <c r="AK135" s="1"/>
      <c r="AL135" s="1"/>
      <c r="AT135" s="1"/>
      <c r="AU135" s="1"/>
      <c r="AV135" s="1"/>
      <c r="AX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</row>
    <row r="136" spans="35:87">
      <c r="AI136" s="1"/>
      <c r="AJ136" s="1"/>
      <c r="AK136" s="1"/>
      <c r="AL136" s="1"/>
      <c r="AT136" s="1"/>
      <c r="AU136" s="1"/>
      <c r="AV136" s="1"/>
      <c r="AX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</row>
    <row r="137" spans="35:87">
      <c r="AI137" s="1"/>
      <c r="AJ137" s="1"/>
      <c r="AK137" s="1"/>
      <c r="AL137" s="1"/>
      <c r="AT137" s="1"/>
      <c r="AU137" s="1"/>
      <c r="AV137" s="1"/>
      <c r="AX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</row>
    <row r="138" spans="35:87">
      <c r="AI138" s="1"/>
      <c r="AJ138" s="1"/>
      <c r="AK138" s="1"/>
      <c r="AL138" s="1"/>
      <c r="AT138" s="1"/>
      <c r="AU138" s="1"/>
      <c r="AV138" s="1"/>
      <c r="AX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</row>
    <row r="139" spans="35:87">
      <c r="AI139" s="1"/>
      <c r="AJ139" s="1"/>
      <c r="AK139" s="1"/>
      <c r="AL139" s="1"/>
      <c r="AT139" s="1"/>
      <c r="AU139" s="1"/>
      <c r="AV139" s="1"/>
      <c r="AX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</row>
    <row r="140" spans="35:87">
      <c r="AI140" s="1"/>
      <c r="AJ140" s="1"/>
      <c r="AK140" s="1"/>
      <c r="AL140" s="1"/>
      <c r="AT140" s="1"/>
      <c r="AU140" s="1"/>
      <c r="AV140" s="1"/>
      <c r="AX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</row>
    <row r="141" spans="35:87">
      <c r="AI141" s="1"/>
      <c r="AJ141" s="1"/>
      <c r="AK141" s="1"/>
      <c r="AL141" s="1"/>
      <c r="AT141" s="1"/>
      <c r="AU141" s="1"/>
      <c r="AV141" s="1"/>
      <c r="AX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</row>
    <row r="142" spans="35:87">
      <c r="AI142" s="1"/>
      <c r="AJ142" s="1"/>
      <c r="AK142" s="1"/>
      <c r="AL142" s="1"/>
      <c r="AT142" s="1"/>
      <c r="AU142" s="1"/>
      <c r="AV142" s="1"/>
      <c r="AX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</row>
    <row r="143" spans="35:87">
      <c r="AI143" s="1"/>
      <c r="AJ143" s="1"/>
      <c r="AK143" s="1"/>
      <c r="AL143" s="1"/>
      <c r="AT143" s="1"/>
      <c r="AU143" s="1"/>
      <c r="AV143" s="1"/>
      <c r="AX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</row>
    <row r="144" spans="35:87">
      <c r="AI144" s="1"/>
      <c r="AJ144" s="1"/>
      <c r="AK144" s="1"/>
      <c r="AL144" s="1"/>
      <c r="AT144" s="1"/>
      <c r="AU144" s="1"/>
      <c r="AV144" s="1"/>
      <c r="AX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</row>
    <row r="145" spans="35:87">
      <c r="AI145" s="1"/>
      <c r="AJ145" s="1"/>
      <c r="AK145" s="1"/>
      <c r="AL145" s="1"/>
      <c r="AT145" s="1"/>
      <c r="AU145" s="1"/>
      <c r="AV145" s="1"/>
      <c r="AX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</row>
    <row r="146" spans="35:87">
      <c r="AI146" s="1"/>
      <c r="AJ146" s="1"/>
      <c r="AK146" s="1"/>
      <c r="AL146" s="1"/>
      <c r="AT146" s="1"/>
      <c r="AU146" s="1"/>
      <c r="AV146" s="1"/>
      <c r="AX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</row>
    <row r="147" spans="35:87">
      <c r="AI147" s="1"/>
      <c r="AJ147" s="1"/>
      <c r="AK147" s="1"/>
      <c r="AL147" s="1"/>
      <c r="AT147" s="1"/>
      <c r="AU147" s="1"/>
      <c r="AV147" s="1"/>
      <c r="AX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</row>
    <row r="148" spans="35:87">
      <c r="AI148" s="1"/>
      <c r="AJ148" s="1"/>
      <c r="AK148" s="1"/>
      <c r="AL148" s="1"/>
      <c r="AT148" s="1"/>
      <c r="AU148" s="1"/>
      <c r="AV148" s="1"/>
      <c r="AX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</row>
    <row r="149" spans="35:87">
      <c r="AI149" s="1"/>
      <c r="AJ149" s="1"/>
      <c r="AK149" s="1"/>
      <c r="AL149" s="1"/>
      <c r="AT149" s="1"/>
      <c r="AU149" s="1"/>
      <c r="AV149" s="1"/>
      <c r="AX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</row>
    <row r="150" spans="35:87">
      <c r="AI150" s="1"/>
      <c r="AJ150" s="1"/>
      <c r="AK150" s="1"/>
      <c r="AL150" s="1"/>
      <c r="AT150" s="1"/>
      <c r="AU150" s="1"/>
      <c r="AV150" s="1"/>
      <c r="AX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</row>
    <row r="151" spans="35:87">
      <c r="AI151" s="1"/>
      <c r="AJ151" s="1"/>
      <c r="AK151" s="1"/>
      <c r="AL151" s="1"/>
      <c r="AT151" s="1"/>
      <c r="AU151" s="1"/>
      <c r="AV151" s="1"/>
      <c r="AX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</row>
    <row r="152" spans="35:87">
      <c r="AI152" s="1"/>
      <c r="AJ152" s="1"/>
      <c r="AK152" s="1"/>
      <c r="AL152" s="1"/>
      <c r="AT152" s="1"/>
      <c r="AU152" s="1"/>
      <c r="AV152" s="1"/>
      <c r="AX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</row>
    <row r="153" spans="35:87">
      <c r="AI153" s="1"/>
      <c r="AJ153" s="1"/>
      <c r="AK153" s="1"/>
      <c r="AL153" s="1"/>
      <c r="AT153" s="1"/>
      <c r="AU153" s="1"/>
      <c r="AV153" s="1"/>
      <c r="AX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</row>
    <row r="154" spans="35:87">
      <c r="AI154" s="1"/>
      <c r="AJ154" s="1"/>
      <c r="AK154" s="1"/>
      <c r="AL154" s="1"/>
      <c r="AT154" s="1"/>
      <c r="AU154" s="1"/>
      <c r="AV154" s="1"/>
      <c r="AX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</row>
    <row r="155" spans="35:87">
      <c r="AI155" s="1"/>
      <c r="AJ155" s="1"/>
      <c r="AK155" s="1"/>
      <c r="AL155" s="1"/>
      <c r="AT155" s="1"/>
      <c r="AU155" s="1"/>
      <c r="AV155" s="1"/>
      <c r="AX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</row>
    <row r="156" spans="35:87">
      <c r="AI156" s="1"/>
      <c r="AJ156" s="1"/>
      <c r="AK156" s="1"/>
      <c r="AL156" s="1"/>
      <c r="AT156" s="1"/>
      <c r="AU156" s="1"/>
      <c r="AV156" s="1"/>
      <c r="AX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</row>
    <row r="157" spans="35:87">
      <c r="AI157" s="1"/>
      <c r="AJ157" s="1"/>
      <c r="AK157" s="1"/>
      <c r="AL157" s="1"/>
      <c r="AT157" s="1"/>
      <c r="AU157" s="1"/>
      <c r="AV157" s="1"/>
      <c r="AX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</row>
    <row r="158" spans="35:87">
      <c r="AI158" s="1"/>
      <c r="AJ158" s="1"/>
      <c r="AK158" s="1"/>
      <c r="AL158" s="1"/>
      <c r="AT158" s="1"/>
      <c r="AU158" s="1"/>
      <c r="AV158" s="1"/>
      <c r="AX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</row>
    <row r="159" spans="35:87">
      <c r="AI159" s="1"/>
      <c r="AJ159" s="1"/>
      <c r="AK159" s="1"/>
      <c r="AL159" s="1"/>
      <c r="AT159" s="1"/>
      <c r="AU159" s="1"/>
      <c r="AV159" s="1"/>
      <c r="AX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</row>
    <row r="160" spans="35:87">
      <c r="AI160" s="1"/>
      <c r="AJ160" s="1"/>
      <c r="AK160" s="1"/>
      <c r="AL160" s="1"/>
      <c r="AT160" s="1"/>
      <c r="AU160" s="1"/>
      <c r="AV160" s="1"/>
      <c r="AX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</row>
    <row r="161" spans="35:87">
      <c r="AI161" s="1"/>
      <c r="AJ161" s="1"/>
      <c r="AK161" s="1"/>
      <c r="AL161" s="1"/>
      <c r="AT161" s="1"/>
      <c r="AU161" s="1"/>
      <c r="AV161" s="1"/>
      <c r="AX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</row>
    <row r="162" spans="35:87">
      <c r="AI162" s="1"/>
      <c r="AJ162" s="1"/>
      <c r="AK162" s="1"/>
      <c r="AL162" s="1"/>
      <c r="AT162" s="1"/>
      <c r="AU162" s="1"/>
      <c r="AV162" s="1"/>
      <c r="AX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</row>
    <row r="163" spans="35:87">
      <c r="AI163" s="1"/>
      <c r="AJ163" s="1"/>
      <c r="AK163" s="1"/>
      <c r="AL163" s="1"/>
      <c r="AT163" s="1"/>
      <c r="AU163" s="1"/>
      <c r="AV163" s="1"/>
      <c r="AX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</row>
    <row r="164" spans="35:87">
      <c r="AI164" s="1"/>
      <c r="AJ164" s="1"/>
      <c r="AK164" s="1"/>
      <c r="AL164" s="1"/>
      <c r="AT164" s="1"/>
      <c r="AU164" s="1"/>
      <c r="AV164" s="1"/>
      <c r="AX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</row>
    <row r="165" spans="35:87">
      <c r="AI165" s="1"/>
      <c r="AJ165" s="1"/>
      <c r="AK165" s="1"/>
      <c r="AL165" s="1"/>
      <c r="AT165" s="1"/>
      <c r="AU165" s="1"/>
      <c r="AV165" s="1"/>
      <c r="AX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</row>
    <row r="166" spans="35:87">
      <c r="AI166" s="1"/>
      <c r="AJ166" s="1"/>
      <c r="AK166" s="1"/>
      <c r="AL166" s="1"/>
      <c r="AT166" s="1"/>
      <c r="AU166" s="1"/>
      <c r="AV166" s="1"/>
      <c r="AX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</row>
    <row r="167" spans="35:87">
      <c r="AI167" s="1"/>
      <c r="AJ167" s="1"/>
      <c r="AK167" s="1"/>
      <c r="AL167" s="1"/>
      <c r="AT167" s="1"/>
      <c r="AU167" s="1"/>
      <c r="AV167" s="1"/>
      <c r="AX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</row>
    <row r="168" spans="35:87">
      <c r="AI168" s="1"/>
      <c r="AJ168" s="1"/>
      <c r="AK168" s="1"/>
      <c r="AL168" s="1"/>
      <c r="AT168" s="1"/>
      <c r="AU168" s="1"/>
      <c r="AV168" s="1"/>
      <c r="AX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</row>
    <row r="169" spans="35:87">
      <c r="AI169" s="1"/>
      <c r="AJ169" s="1"/>
      <c r="AK169" s="1"/>
      <c r="AL169" s="1"/>
      <c r="AT169" s="1"/>
      <c r="AU169" s="1"/>
      <c r="AV169" s="1"/>
      <c r="AX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</row>
    <row r="170" spans="35:87">
      <c r="AI170" s="1"/>
      <c r="AJ170" s="1"/>
      <c r="AK170" s="1"/>
      <c r="AL170" s="1"/>
      <c r="AT170" s="1"/>
      <c r="AU170" s="1"/>
      <c r="AV170" s="1"/>
      <c r="AX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</row>
    <row r="171" spans="35:87">
      <c r="AI171" s="1"/>
      <c r="AJ171" s="1"/>
      <c r="AK171" s="1"/>
      <c r="AL171" s="1"/>
      <c r="AT171" s="1"/>
      <c r="AU171" s="1"/>
      <c r="AV171" s="1"/>
      <c r="AX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</row>
    <row r="172" spans="35:87">
      <c r="AI172" s="1"/>
      <c r="AJ172" s="1"/>
      <c r="AK172" s="1"/>
      <c r="AL172" s="1"/>
      <c r="AT172" s="1"/>
      <c r="AU172" s="1"/>
      <c r="AV172" s="1"/>
      <c r="AX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</row>
    <row r="173" spans="35:87">
      <c r="AI173" s="1"/>
      <c r="AJ173" s="1"/>
      <c r="AK173" s="1"/>
      <c r="AL173" s="1"/>
      <c r="AT173" s="1"/>
      <c r="AU173" s="1"/>
      <c r="AV173" s="1"/>
      <c r="AX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</row>
    <row r="174" spans="35:87">
      <c r="AI174" s="1"/>
      <c r="AJ174" s="1"/>
      <c r="AK174" s="1"/>
      <c r="AL174" s="1"/>
      <c r="AT174" s="1"/>
      <c r="AU174" s="1"/>
      <c r="AV174" s="1"/>
      <c r="AX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</row>
    <row r="175" spans="35:87">
      <c r="AI175" s="1"/>
      <c r="AJ175" s="1"/>
      <c r="AK175" s="1"/>
      <c r="AL175" s="1"/>
      <c r="AT175" s="1"/>
      <c r="AU175" s="1"/>
      <c r="AV175" s="1"/>
      <c r="AX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</row>
    <row r="176" spans="35:87">
      <c r="AI176" s="1"/>
      <c r="AJ176" s="1"/>
      <c r="AK176" s="1"/>
      <c r="AL176" s="1"/>
      <c r="AT176" s="1"/>
      <c r="AU176" s="1"/>
      <c r="AV176" s="1"/>
      <c r="AX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</row>
    <row r="177" spans="35:87">
      <c r="AI177" s="1"/>
      <c r="AJ177" s="1"/>
      <c r="AK177" s="1"/>
      <c r="AL177" s="1"/>
      <c r="AT177" s="1"/>
      <c r="AU177" s="1"/>
      <c r="AV177" s="1"/>
      <c r="AX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</row>
    <row r="178" spans="35:87">
      <c r="AI178" s="1"/>
      <c r="AJ178" s="1"/>
      <c r="AK178" s="1"/>
      <c r="AL178" s="1"/>
      <c r="AT178" s="1"/>
      <c r="AU178" s="1"/>
      <c r="AV178" s="1"/>
      <c r="AX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</row>
    <row r="179" spans="35:87">
      <c r="AI179" s="1"/>
      <c r="AJ179" s="1"/>
      <c r="AK179" s="1"/>
      <c r="AL179" s="1"/>
      <c r="AT179" s="1"/>
      <c r="AU179" s="1"/>
      <c r="AV179" s="1"/>
      <c r="AX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</row>
    <row r="180" spans="35:87">
      <c r="AI180" s="1"/>
      <c r="AJ180" s="1"/>
      <c r="AK180" s="1"/>
      <c r="AL180" s="1"/>
      <c r="AT180" s="1"/>
      <c r="AU180" s="1"/>
      <c r="AV180" s="1"/>
      <c r="AX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</row>
    <row r="181" spans="35:87">
      <c r="AI181" s="1"/>
      <c r="AJ181" s="1"/>
      <c r="AK181" s="1"/>
      <c r="AL181" s="1"/>
      <c r="AT181" s="1"/>
      <c r="AU181" s="1"/>
      <c r="AV181" s="1"/>
      <c r="AX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</row>
    <row r="182" spans="35:87">
      <c r="AI182" s="1"/>
      <c r="AJ182" s="1"/>
      <c r="AK182" s="1"/>
      <c r="AL182" s="1"/>
      <c r="AT182" s="1"/>
      <c r="AU182" s="1"/>
      <c r="AV182" s="1"/>
      <c r="AX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</row>
    <row r="183" spans="35:87">
      <c r="AI183" s="1"/>
      <c r="AJ183" s="1"/>
      <c r="AK183" s="1"/>
      <c r="AL183" s="1"/>
      <c r="AT183" s="1"/>
      <c r="AU183" s="1"/>
      <c r="AV183" s="1"/>
      <c r="AX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</row>
    <row r="184" spans="35:87">
      <c r="AI184" s="1"/>
      <c r="AJ184" s="1"/>
      <c r="AK184" s="1"/>
      <c r="AL184" s="1"/>
      <c r="AT184" s="1"/>
      <c r="AU184" s="1"/>
      <c r="AV184" s="1"/>
      <c r="AX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</row>
    <row r="185" spans="35:87">
      <c r="AI185" s="1"/>
      <c r="AJ185" s="1"/>
      <c r="AK185" s="1"/>
      <c r="AL185" s="1"/>
      <c r="AT185" s="1"/>
      <c r="AU185" s="1"/>
      <c r="AV185" s="1"/>
      <c r="AX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</row>
    <row r="186" spans="35:87">
      <c r="AI186" s="1"/>
      <c r="AJ186" s="1"/>
      <c r="AK186" s="1"/>
      <c r="AL186" s="1"/>
      <c r="AT186" s="1"/>
      <c r="AU186" s="1"/>
      <c r="AV186" s="1"/>
      <c r="AX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</row>
    <row r="187" spans="35:87">
      <c r="AI187" s="1"/>
      <c r="AJ187" s="1"/>
      <c r="AK187" s="1"/>
      <c r="AL187" s="1"/>
      <c r="AT187" s="1"/>
      <c r="AU187" s="1"/>
      <c r="AV187" s="1"/>
      <c r="AX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</row>
    <row r="188" spans="35:87">
      <c r="AI188" s="1"/>
      <c r="AJ188" s="1"/>
      <c r="AK188" s="1"/>
      <c r="AL188" s="1"/>
      <c r="AT188" s="1"/>
      <c r="AU188" s="1"/>
      <c r="AV188" s="1"/>
      <c r="AX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</row>
    <row r="189" spans="35:87">
      <c r="AI189" s="1"/>
      <c r="AJ189" s="1"/>
      <c r="AK189" s="1"/>
      <c r="AL189" s="1"/>
      <c r="AT189" s="1"/>
      <c r="AU189" s="1"/>
      <c r="AV189" s="1"/>
      <c r="AX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</row>
    <row r="190" spans="35:87">
      <c r="AI190" s="1"/>
      <c r="AJ190" s="1"/>
      <c r="AK190" s="1"/>
      <c r="AL190" s="1"/>
      <c r="AT190" s="1"/>
      <c r="AU190" s="1"/>
      <c r="AV190" s="1"/>
      <c r="AX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</row>
    <row r="191" spans="35:87">
      <c r="AI191" s="1"/>
      <c r="AJ191" s="1"/>
      <c r="AK191" s="1"/>
      <c r="AL191" s="1"/>
      <c r="AT191" s="1"/>
      <c r="AU191" s="1"/>
      <c r="AV191" s="1"/>
      <c r="AX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</row>
    <row r="192" spans="35:87">
      <c r="AI192" s="1"/>
      <c r="AJ192" s="1"/>
      <c r="AK192" s="1"/>
      <c r="AL192" s="1"/>
      <c r="AT192" s="1"/>
      <c r="AU192" s="1"/>
      <c r="AV192" s="1"/>
      <c r="AX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</row>
    <row r="193" spans="35:87">
      <c r="AI193" s="1"/>
      <c r="AJ193" s="1"/>
      <c r="AK193" s="1"/>
      <c r="AL193" s="1"/>
      <c r="AT193" s="1"/>
      <c r="AU193" s="1"/>
      <c r="AV193" s="1"/>
      <c r="AX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</row>
    <row r="194" spans="35:87">
      <c r="AI194" s="1"/>
      <c r="AJ194" s="1"/>
      <c r="AK194" s="1"/>
      <c r="AL194" s="1"/>
      <c r="AT194" s="1"/>
      <c r="AU194" s="1"/>
      <c r="AV194" s="1"/>
      <c r="AX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</row>
    <row r="195" spans="35:87">
      <c r="AI195" s="1"/>
      <c r="AJ195" s="1"/>
      <c r="AK195" s="1"/>
      <c r="AL195" s="1"/>
      <c r="AT195" s="1"/>
      <c r="AU195" s="1"/>
      <c r="AV195" s="1"/>
      <c r="AX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</row>
    <row r="196" spans="35:87">
      <c r="AI196" s="1"/>
      <c r="AJ196" s="1"/>
      <c r="AK196" s="1"/>
      <c r="AL196" s="1"/>
      <c r="AT196" s="1"/>
      <c r="AU196" s="1"/>
      <c r="AV196" s="1"/>
      <c r="AX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</row>
    <row r="197" spans="35:87">
      <c r="AI197" s="1"/>
      <c r="AJ197" s="1"/>
      <c r="AK197" s="1"/>
      <c r="AL197" s="1"/>
      <c r="AT197" s="1"/>
      <c r="AU197" s="1"/>
      <c r="AV197" s="1"/>
      <c r="AX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</row>
    <row r="198" spans="35:87">
      <c r="AI198" s="1"/>
      <c r="AJ198" s="1"/>
      <c r="AK198" s="1"/>
      <c r="AL198" s="1"/>
      <c r="AT198" s="1"/>
      <c r="AU198" s="1"/>
      <c r="AV198" s="1"/>
      <c r="AX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</row>
    <row r="199" spans="35:87">
      <c r="AI199" s="1"/>
      <c r="AJ199" s="1"/>
      <c r="AK199" s="1"/>
      <c r="AL199" s="1"/>
      <c r="AT199" s="1"/>
      <c r="AU199" s="1"/>
      <c r="AV199" s="1"/>
      <c r="AX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</row>
    <row r="200" spans="35:87">
      <c r="AI200" s="1"/>
      <c r="AJ200" s="1"/>
      <c r="AK200" s="1"/>
      <c r="AL200" s="1"/>
      <c r="AT200" s="1"/>
      <c r="AU200" s="1"/>
      <c r="AV200" s="1"/>
      <c r="AX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</row>
    <row r="201" spans="35:87">
      <c r="AI201" s="1"/>
      <c r="AJ201" s="1"/>
      <c r="AK201" s="1"/>
      <c r="AL201" s="1"/>
      <c r="AT201" s="1"/>
      <c r="AU201" s="1"/>
      <c r="AV201" s="1"/>
      <c r="AX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</row>
    <row r="202" spans="35:87">
      <c r="AI202" s="1"/>
      <c r="AJ202" s="1"/>
      <c r="AK202" s="1"/>
      <c r="AL202" s="1"/>
      <c r="AT202" s="1"/>
      <c r="AU202" s="1"/>
      <c r="AV202" s="1"/>
      <c r="AX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</row>
    <row r="203" spans="35:87">
      <c r="AI203" s="1"/>
      <c r="AJ203" s="1"/>
      <c r="AK203" s="1"/>
      <c r="AL203" s="1"/>
      <c r="AT203" s="1"/>
      <c r="AU203" s="1"/>
      <c r="AV203" s="1"/>
      <c r="AX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</row>
    <row r="204" spans="35:87">
      <c r="AI204" s="1"/>
      <c r="AJ204" s="1"/>
      <c r="AK204" s="1"/>
      <c r="AL204" s="1"/>
      <c r="AT204" s="1"/>
      <c r="AU204" s="1"/>
      <c r="AV204" s="1"/>
      <c r="AX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</row>
    <row r="205" spans="35:87">
      <c r="AI205" s="1"/>
      <c r="AJ205" s="1"/>
      <c r="AK205" s="1"/>
      <c r="AL205" s="1"/>
      <c r="AT205" s="1"/>
      <c r="AU205" s="1"/>
      <c r="AV205" s="1"/>
      <c r="AX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</row>
    <row r="206" spans="35:87">
      <c r="AI206" s="1"/>
      <c r="AJ206" s="1"/>
      <c r="AK206" s="1"/>
      <c r="AL206" s="1"/>
      <c r="AT206" s="1"/>
      <c r="AU206" s="1"/>
      <c r="AV206" s="1"/>
      <c r="AX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</row>
    <row r="207" spans="35:87">
      <c r="AI207" s="1"/>
      <c r="AJ207" s="1"/>
      <c r="AK207" s="1"/>
      <c r="AL207" s="1"/>
      <c r="AT207" s="1"/>
      <c r="AU207" s="1"/>
      <c r="AV207" s="1"/>
      <c r="AX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</row>
    <row r="208" spans="35:87">
      <c r="AI208" s="1"/>
      <c r="AJ208" s="1"/>
      <c r="AK208" s="1"/>
      <c r="AL208" s="1"/>
      <c r="AT208" s="1"/>
      <c r="AU208" s="1"/>
      <c r="AV208" s="1"/>
      <c r="AX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</row>
    <row r="209" spans="35:87">
      <c r="AI209" s="1"/>
      <c r="AJ209" s="1"/>
      <c r="AK209" s="1"/>
      <c r="AL209" s="1"/>
      <c r="AT209" s="1"/>
      <c r="AU209" s="1"/>
      <c r="AV209" s="1"/>
      <c r="AX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</row>
    <row r="210" spans="35:87">
      <c r="AI210" s="1"/>
      <c r="AJ210" s="1"/>
      <c r="AK210" s="1"/>
      <c r="AL210" s="1"/>
      <c r="AT210" s="1"/>
      <c r="AU210" s="1"/>
      <c r="AV210" s="1"/>
      <c r="AX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</row>
    <row r="211" spans="35:87">
      <c r="AI211" s="1"/>
      <c r="AJ211" s="1"/>
      <c r="AK211" s="1"/>
      <c r="AL211" s="1"/>
      <c r="AT211" s="1"/>
      <c r="AU211" s="1"/>
      <c r="AV211" s="1"/>
      <c r="AX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</row>
    <row r="212" spans="35:87">
      <c r="AI212" s="1"/>
      <c r="AJ212" s="1"/>
      <c r="AK212" s="1"/>
      <c r="AL212" s="1"/>
      <c r="AT212" s="1"/>
      <c r="AU212" s="1"/>
      <c r="AV212" s="1"/>
      <c r="AX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</row>
    <row r="213" spans="35:87">
      <c r="AI213" s="1"/>
      <c r="AJ213" s="1"/>
      <c r="AK213" s="1"/>
      <c r="AL213" s="1"/>
      <c r="AT213" s="1"/>
      <c r="AU213" s="1"/>
      <c r="AV213" s="1"/>
      <c r="AX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</row>
    <row r="214" spans="35:87">
      <c r="AI214" s="1"/>
      <c r="AJ214" s="1"/>
      <c r="AK214" s="1"/>
      <c r="AL214" s="1"/>
      <c r="AT214" s="1"/>
      <c r="AU214" s="1"/>
      <c r="AV214" s="1"/>
      <c r="AX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</row>
    <row r="215" spans="35:87">
      <c r="AI215" s="1"/>
      <c r="AJ215" s="1"/>
      <c r="AK215" s="1"/>
      <c r="AL215" s="1"/>
      <c r="AT215" s="1"/>
      <c r="AU215" s="1"/>
      <c r="AV215" s="1"/>
      <c r="AX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</row>
    <row r="216" spans="35:87">
      <c r="AI216" s="1"/>
      <c r="AJ216" s="1"/>
      <c r="AK216" s="1"/>
      <c r="AL216" s="1"/>
      <c r="AT216" s="1"/>
      <c r="AU216" s="1"/>
      <c r="AV216" s="1"/>
      <c r="AX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</row>
    <row r="217" spans="35:87">
      <c r="AI217" s="1"/>
      <c r="AJ217" s="1"/>
      <c r="AK217" s="1"/>
      <c r="AL217" s="1"/>
      <c r="AT217" s="1"/>
      <c r="AU217" s="1"/>
      <c r="AV217" s="1"/>
      <c r="AX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</row>
    <row r="218" spans="35:87">
      <c r="AI218" s="1"/>
      <c r="AJ218" s="1"/>
      <c r="AK218" s="1"/>
      <c r="AL218" s="1"/>
      <c r="AT218" s="1"/>
      <c r="AU218" s="1"/>
      <c r="AV218" s="1"/>
      <c r="AX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</row>
    <row r="219" spans="35:87">
      <c r="AI219" s="1"/>
      <c r="AJ219" s="1"/>
      <c r="AK219" s="1"/>
      <c r="AL219" s="1"/>
      <c r="AT219" s="1"/>
      <c r="AU219" s="1"/>
      <c r="AV219" s="1"/>
      <c r="AX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</row>
    <row r="220" spans="35:87">
      <c r="AI220" s="1"/>
      <c r="AJ220" s="1"/>
      <c r="AK220" s="1"/>
      <c r="AL220" s="1"/>
      <c r="AT220" s="1"/>
      <c r="AU220" s="1"/>
      <c r="AV220" s="1"/>
      <c r="AX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</row>
    <row r="221" spans="35:87">
      <c r="AI221" s="1"/>
      <c r="AJ221" s="1"/>
      <c r="AK221" s="1"/>
      <c r="AL221" s="1"/>
      <c r="AT221" s="1"/>
      <c r="AU221" s="1"/>
      <c r="AV221" s="1"/>
      <c r="AX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</row>
    <row r="222" spans="35:87">
      <c r="AI222" s="1"/>
      <c r="AJ222" s="1"/>
      <c r="AK222" s="1"/>
      <c r="AL222" s="1"/>
      <c r="AT222" s="1"/>
      <c r="AU222" s="1"/>
      <c r="AV222" s="1"/>
      <c r="AX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</row>
    <row r="223" spans="35:87">
      <c r="AI223" s="1"/>
      <c r="AJ223" s="1"/>
      <c r="AK223" s="1"/>
      <c r="AL223" s="1"/>
      <c r="AT223" s="1"/>
      <c r="AU223" s="1"/>
      <c r="AV223" s="1"/>
      <c r="AX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</row>
    <row r="224" spans="35:87">
      <c r="AI224" s="1"/>
      <c r="AJ224" s="1"/>
      <c r="AK224" s="1"/>
      <c r="AL224" s="1"/>
      <c r="AT224" s="1"/>
      <c r="AU224" s="1"/>
      <c r="AV224" s="1"/>
      <c r="AX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</row>
    <row r="225" spans="35:87">
      <c r="AI225" s="1"/>
      <c r="AJ225" s="1"/>
      <c r="AK225" s="1"/>
      <c r="AL225" s="1"/>
      <c r="AT225" s="1"/>
      <c r="AU225" s="1"/>
      <c r="AV225" s="1"/>
      <c r="AX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</row>
    <row r="226" spans="35:87">
      <c r="AI226" s="1"/>
      <c r="AJ226" s="1"/>
      <c r="AK226" s="1"/>
      <c r="AL226" s="1"/>
      <c r="AT226" s="1"/>
      <c r="AU226" s="1"/>
      <c r="AV226" s="1"/>
      <c r="AX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</row>
    <row r="227" spans="35:87">
      <c r="AI227" s="1"/>
      <c r="AJ227" s="1"/>
      <c r="AK227" s="1"/>
      <c r="AL227" s="1"/>
      <c r="AT227" s="1"/>
      <c r="AU227" s="1"/>
      <c r="AV227" s="1"/>
      <c r="AX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</row>
    <row r="228" spans="35:87">
      <c r="AI228" s="1"/>
      <c r="AJ228" s="1"/>
      <c r="AK228" s="1"/>
      <c r="AL228" s="1"/>
      <c r="AT228" s="1"/>
      <c r="AU228" s="1"/>
      <c r="AV228" s="1"/>
      <c r="AX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</row>
    <row r="229" spans="35:87">
      <c r="AI229" s="1"/>
      <c r="AJ229" s="1"/>
      <c r="AK229" s="1"/>
      <c r="AL229" s="1"/>
      <c r="AT229" s="1"/>
      <c r="AU229" s="1"/>
      <c r="AV229" s="1"/>
      <c r="AX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</row>
    <row r="230" spans="35:87">
      <c r="AI230" s="1"/>
      <c r="AJ230" s="1"/>
      <c r="AK230" s="1"/>
      <c r="AL230" s="1"/>
      <c r="AT230" s="1"/>
      <c r="AU230" s="1"/>
      <c r="AV230" s="1"/>
      <c r="AX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</row>
    <row r="231" spans="35:87">
      <c r="AI231" s="1"/>
      <c r="AJ231" s="1"/>
      <c r="AK231" s="1"/>
      <c r="AL231" s="1"/>
      <c r="AT231" s="1"/>
      <c r="AU231" s="1"/>
      <c r="AV231" s="1"/>
      <c r="AX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</row>
    <row r="232" spans="35:87">
      <c r="AI232" s="1"/>
      <c r="AJ232" s="1"/>
      <c r="AK232" s="1"/>
      <c r="AL232" s="1"/>
      <c r="AT232" s="1"/>
      <c r="AU232" s="1"/>
      <c r="AV232" s="1"/>
      <c r="AX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</row>
    <row r="233" spans="35:87">
      <c r="AI233" s="1"/>
      <c r="AJ233" s="1"/>
      <c r="AK233" s="1"/>
      <c r="AL233" s="1"/>
      <c r="AT233" s="1"/>
      <c r="AU233" s="1"/>
      <c r="AV233" s="1"/>
      <c r="AX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</row>
    <row r="234" spans="35:87">
      <c r="AI234" s="1"/>
      <c r="AJ234" s="1"/>
      <c r="AK234" s="1"/>
      <c r="AL234" s="1"/>
      <c r="AT234" s="1"/>
      <c r="AU234" s="1"/>
      <c r="AV234" s="1"/>
      <c r="AX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</row>
    <row r="235" spans="35:87">
      <c r="AI235" s="1"/>
      <c r="AJ235" s="1"/>
      <c r="AK235" s="1"/>
      <c r="AL235" s="1"/>
      <c r="AT235" s="1"/>
      <c r="AU235" s="1"/>
      <c r="AV235" s="1"/>
      <c r="AX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</row>
    <row r="236" spans="35:87">
      <c r="AI236" s="1"/>
      <c r="AJ236" s="1"/>
      <c r="AK236" s="1"/>
      <c r="AL236" s="1"/>
      <c r="AT236" s="1"/>
      <c r="AU236" s="1"/>
      <c r="AV236" s="1"/>
      <c r="AX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</row>
    <row r="237" spans="35:87">
      <c r="AI237" s="1"/>
      <c r="AJ237" s="1"/>
      <c r="AK237" s="1"/>
      <c r="AL237" s="1"/>
      <c r="AT237" s="1"/>
      <c r="AU237" s="1"/>
      <c r="AV237" s="1"/>
      <c r="AX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</row>
    <row r="238" spans="35:87">
      <c r="AI238" s="1"/>
      <c r="AJ238" s="1"/>
      <c r="AK238" s="1"/>
      <c r="AL238" s="1"/>
      <c r="AT238" s="1"/>
      <c r="AU238" s="1"/>
      <c r="AV238" s="1"/>
      <c r="AX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</row>
    <row r="239" spans="35:87">
      <c r="AI239" s="1"/>
      <c r="AJ239" s="1"/>
      <c r="AK239" s="1"/>
      <c r="AL239" s="1"/>
      <c r="AT239" s="1"/>
      <c r="AU239" s="1"/>
      <c r="AV239" s="1"/>
      <c r="AX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</row>
    <row r="240" spans="35:87">
      <c r="AI240" s="1"/>
      <c r="AJ240" s="1"/>
      <c r="AK240" s="1"/>
      <c r="AL240" s="1"/>
      <c r="AT240" s="1"/>
      <c r="AU240" s="1"/>
      <c r="AV240" s="1"/>
      <c r="AX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</row>
    <row r="241" spans="35:87">
      <c r="AI241" s="1"/>
      <c r="AJ241" s="1"/>
      <c r="AK241" s="1"/>
      <c r="AL241" s="1"/>
      <c r="AT241" s="1"/>
      <c r="AU241" s="1"/>
      <c r="AV241" s="1"/>
      <c r="AX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</row>
    <row r="242" spans="35:87">
      <c r="AI242" s="1"/>
      <c r="AJ242" s="1"/>
      <c r="AK242" s="1"/>
      <c r="AL242" s="1"/>
      <c r="AT242" s="1"/>
      <c r="AU242" s="1"/>
      <c r="AV242" s="1"/>
      <c r="AX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</row>
    <row r="243" spans="35:87">
      <c r="AI243" s="1"/>
      <c r="AJ243" s="1"/>
      <c r="AK243" s="1"/>
      <c r="AL243" s="1"/>
      <c r="AT243" s="1"/>
      <c r="AU243" s="1"/>
      <c r="AV243" s="1"/>
      <c r="AX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</row>
    <row r="244" spans="35:87">
      <c r="AI244" s="1"/>
      <c r="AJ244" s="1"/>
      <c r="AK244" s="1"/>
      <c r="AL244" s="1"/>
      <c r="AT244" s="1"/>
      <c r="AU244" s="1"/>
      <c r="AV244" s="1"/>
      <c r="AX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</row>
    <row r="245" spans="35:87">
      <c r="AI245" s="1"/>
      <c r="AJ245" s="1"/>
      <c r="AK245" s="1"/>
      <c r="AL245" s="1"/>
      <c r="AT245" s="1"/>
      <c r="AU245" s="1"/>
      <c r="AV245" s="1"/>
      <c r="AX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</row>
    <row r="246" spans="35:87">
      <c r="AI246" s="1"/>
      <c r="AJ246" s="1"/>
      <c r="AK246" s="1"/>
      <c r="AL246" s="1"/>
      <c r="AT246" s="1"/>
      <c r="AU246" s="1"/>
      <c r="AV246" s="1"/>
      <c r="AX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</row>
    <row r="247" spans="35:87">
      <c r="AI247" s="1"/>
      <c r="AJ247" s="1"/>
      <c r="AK247" s="1"/>
      <c r="AL247" s="1"/>
      <c r="AT247" s="1"/>
      <c r="AU247" s="1"/>
      <c r="AV247" s="1"/>
      <c r="AX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</row>
    <row r="248" spans="35:87">
      <c r="AI248" s="1"/>
      <c r="AJ248" s="1"/>
      <c r="AK248" s="1"/>
      <c r="AL248" s="1"/>
      <c r="AT248" s="1"/>
      <c r="AU248" s="1"/>
      <c r="AV248" s="1"/>
      <c r="AX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</row>
    <row r="249" spans="35:87">
      <c r="AI249" s="1"/>
      <c r="AJ249" s="1"/>
      <c r="AK249" s="1"/>
      <c r="AL249" s="1"/>
      <c r="AT249" s="1"/>
      <c r="AU249" s="1"/>
      <c r="AV249" s="1"/>
      <c r="AX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</row>
    <row r="250" spans="35:87">
      <c r="AI250" s="1"/>
      <c r="AJ250" s="1"/>
      <c r="AK250" s="1"/>
      <c r="AL250" s="1"/>
      <c r="AT250" s="1"/>
      <c r="AU250" s="1"/>
      <c r="AV250" s="1"/>
      <c r="AX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</row>
    <row r="251" spans="35:87">
      <c r="AI251" s="1"/>
      <c r="AJ251" s="1"/>
      <c r="AK251" s="1"/>
      <c r="AL251" s="1"/>
      <c r="AT251" s="1"/>
      <c r="AU251" s="1"/>
      <c r="AV251" s="1"/>
      <c r="AX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</row>
    <row r="252" spans="35:87">
      <c r="AI252" s="1"/>
      <c r="AJ252" s="1"/>
      <c r="AK252" s="1"/>
      <c r="AL252" s="1"/>
      <c r="AT252" s="1"/>
      <c r="AU252" s="1"/>
      <c r="AV252" s="1"/>
      <c r="AX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</row>
    <row r="253" spans="35:87">
      <c r="AI253" s="1"/>
      <c r="AJ253" s="1"/>
      <c r="AK253" s="1"/>
      <c r="AL253" s="1"/>
      <c r="AT253" s="1"/>
      <c r="AU253" s="1"/>
      <c r="AV253" s="1"/>
      <c r="AX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</row>
    <row r="254" spans="35:87">
      <c r="AI254" s="1"/>
      <c r="AJ254" s="1"/>
      <c r="AK254" s="1"/>
      <c r="AL254" s="1"/>
      <c r="AT254" s="1"/>
      <c r="AU254" s="1"/>
      <c r="AV254" s="1"/>
      <c r="AX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</row>
    <row r="255" spans="35:87">
      <c r="AI255" s="1"/>
      <c r="AJ255" s="1"/>
      <c r="AK255" s="1"/>
      <c r="AL255" s="1"/>
      <c r="AT255" s="1"/>
      <c r="AU255" s="1"/>
      <c r="AV255" s="1"/>
      <c r="AX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</row>
    <row r="256" spans="35:87">
      <c r="AI256" s="1"/>
      <c r="AJ256" s="1"/>
      <c r="AK256" s="1"/>
      <c r="AL256" s="1"/>
      <c r="AT256" s="1"/>
      <c r="AU256" s="1"/>
      <c r="AV256" s="1"/>
      <c r="AX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</row>
    <row r="257" spans="35:87">
      <c r="AI257" s="1"/>
      <c r="AJ257" s="1"/>
      <c r="AK257" s="1"/>
      <c r="AL257" s="1"/>
      <c r="AT257" s="1"/>
      <c r="AU257" s="1"/>
      <c r="AV257" s="1"/>
      <c r="AX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</row>
    <row r="258" spans="35:87">
      <c r="AI258" s="1"/>
      <c r="AJ258" s="1"/>
      <c r="AK258" s="1"/>
      <c r="AL258" s="1"/>
      <c r="AT258" s="1"/>
      <c r="AU258" s="1"/>
      <c r="AV258" s="1"/>
      <c r="AX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</row>
    <row r="259" spans="35:87">
      <c r="AI259" s="1"/>
      <c r="AJ259" s="1"/>
      <c r="AK259" s="1"/>
      <c r="AL259" s="1"/>
      <c r="AT259" s="1"/>
      <c r="AU259" s="1"/>
      <c r="AV259" s="1"/>
      <c r="AX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</row>
    <row r="260" spans="35:87">
      <c r="AI260" s="1"/>
      <c r="AJ260" s="1"/>
      <c r="AK260" s="1"/>
      <c r="AL260" s="1"/>
      <c r="AT260" s="1"/>
      <c r="AU260" s="1"/>
      <c r="AV260" s="1"/>
      <c r="AX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</row>
    <row r="261" spans="35:87">
      <c r="AI261" s="1"/>
      <c r="AJ261" s="1"/>
      <c r="AK261" s="1"/>
      <c r="AL261" s="1"/>
      <c r="AT261" s="1"/>
      <c r="AU261" s="1"/>
      <c r="AV261" s="1"/>
      <c r="AX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</row>
    <row r="262" spans="35:87">
      <c r="AI262" s="1"/>
      <c r="AJ262" s="1"/>
      <c r="AK262" s="1"/>
      <c r="AL262" s="1"/>
      <c r="AT262" s="1"/>
      <c r="AU262" s="1"/>
      <c r="AV262" s="1"/>
      <c r="AX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</row>
    <row r="263" spans="35:87">
      <c r="AI263" s="1"/>
      <c r="AJ263" s="1"/>
      <c r="AK263" s="1"/>
      <c r="AL263" s="1"/>
      <c r="AT263" s="1"/>
      <c r="AU263" s="1"/>
      <c r="AV263" s="1"/>
      <c r="AX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</row>
    <row r="264" spans="35:87">
      <c r="AI264" s="1"/>
      <c r="AJ264" s="1"/>
      <c r="AK264" s="1"/>
      <c r="AL264" s="1"/>
      <c r="AT264" s="1"/>
      <c r="AU264" s="1"/>
      <c r="AV264" s="1"/>
      <c r="AX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</row>
    <row r="265" spans="35:87">
      <c r="AI265" s="1"/>
      <c r="AJ265" s="1"/>
      <c r="AK265" s="1"/>
      <c r="AL265" s="1"/>
      <c r="AT265" s="1"/>
      <c r="AU265" s="1"/>
      <c r="AV265" s="1"/>
      <c r="AX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</row>
    <row r="266" spans="35:87">
      <c r="AI266" s="1"/>
      <c r="AJ266" s="1"/>
      <c r="AK266" s="1"/>
      <c r="AL266" s="1"/>
      <c r="AT266" s="1"/>
      <c r="AU266" s="1"/>
      <c r="AV266" s="1"/>
      <c r="AX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</row>
    <row r="267" spans="35:87">
      <c r="AI267" s="1"/>
      <c r="AJ267" s="1"/>
      <c r="AK267" s="1"/>
      <c r="AL267" s="1"/>
      <c r="AT267" s="1"/>
      <c r="AU267" s="1"/>
      <c r="AV267" s="1"/>
      <c r="AX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</row>
    <row r="268" spans="35:87">
      <c r="AI268" s="1"/>
      <c r="AJ268" s="1"/>
      <c r="AK268" s="1"/>
      <c r="AL268" s="1"/>
      <c r="AT268" s="1"/>
      <c r="AU268" s="1"/>
      <c r="AV268" s="1"/>
      <c r="AX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</row>
    <row r="269" spans="35:87">
      <c r="AI269" s="1"/>
      <c r="AJ269" s="1"/>
      <c r="AK269" s="1"/>
      <c r="AL269" s="1"/>
      <c r="AT269" s="1"/>
      <c r="AU269" s="1"/>
      <c r="AV269" s="1"/>
      <c r="AX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</row>
    <row r="270" spans="35:87">
      <c r="AI270" s="1"/>
      <c r="AJ270" s="1"/>
      <c r="AK270" s="1"/>
      <c r="AL270" s="1"/>
      <c r="AT270" s="1"/>
      <c r="AU270" s="1"/>
      <c r="AV270" s="1"/>
      <c r="AX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</row>
    <row r="271" spans="35:87">
      <c r="AI271" s="1"/>
      <c r="AJ271" s="1"/>
      <c r="AK271" s="1"/>
      <c r="AL271" s="1"/>
      <c r="AT271" s="1"/>
      <c r="AU271" s="1"/>
      <c r="AV271" s="1"/>
      <c r="AX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</row>
    <row r="272" spans="35:87">
      <c r="AI272" s="1"/>
      <c r="AJ272" s="1"/>
      <c r="AK272" s="1"/>
      <c r="AL272" s="1"/>
      <c r="AT272" s="1"/>
      <c r="AU272" s="1"/>
      <c r="AV272" s="1"/>
      <c r="AX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</row>
    <row r="273" spans="35:87">
      <c r="AI273" s="1"/>
      <c r="AJ273" s="1"/>
      <c r="AK273" s="1"/>
      <c r="AL273" s="1"/>
      <c r="AT273" s="1"/>
      <c r="AU273" s="1"/>
      <c r="AV273" s="1"/>
      <c r="AX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</row>
    <row r="274" spans="35:87">
      <c r="AI274" s="1"/>
      <c r="AJ274" s="1"/>
      <c r="AK274" s="1"/>
      <c r="AL274" s="1"/>
      <c r="AT274" s="1"/>
      <c r="AU274" s="1"/>
      <c r="AV274" s="1"/>
      <c r="AX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</row>
    <row r="275" spans="35:87">
      <c r="AI275" s="1"/>
      <c r="AJ275" s="1"/>
      <c r="AK275" s="1"/>
      <c r="AL275" s="1"/>
      <c r="AT275" s="1"/>
      <c r="AU275" s="1"/>
      <c r="AV275" s="1"/>
      <c r="AX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</row>
    <row r="276" spans="35:87">
      <c r="AI276" s="1"/>
      <c r="AJ276" s="1"/>
      <c r="AK276" s="1"/>
      <c r="AL276" s="1"/>
      <c r="AT276" s="1"/>
      <c r="AU276" s="1"/>
      <c r="AV276" s="1"/>
      <c r="AX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</row>
    <row r="277" spans="35:87">
      <c r="AI277" s="1"/>
      <c r="AJ277" s="1"/>
      <c r="AK277" s="1"/>
      <c r="AL277" s="1"/>
      <c r="AT277" s="1"/>
      <c r="AU277" s="1"/>
      <c r="AV277" s="1"/>
      <c r="AX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</row>
    <row r="278" spans="35:87">
      <c r="AI278" s="1"/>
      <c r="AJ278" s="1"/>
      <c r="AK278" s="1"/>
      <c r="AL278" s="1"/>
      <c r="AT278" s="1"/>
      <c r="AU278" s="1"/>
      <c r="AV278" s="1"/>
      <c r="AX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</row>
    <row r="279" spans="35:87">
      <c r="AI279" s="1"/>
      <c r="AJ279" s="1"/>
      <c r="AK279" s="1"/>
      <c r="AL279" s="1"/>
      <c r="AT279" s="1"/>
      <c r="AU279" s="1"/>
      <c r="AV279" s="1"/>
      <c r="AX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</row>
    <row r="280" spans="35:87">
      <c r="AI280" s="1"/>
      <c r="AJ280" s="1"/>
      <c r="AK280" s="1"/>
      <c r="AL280" s="1"/>
      <c r="AT280" s="1"/>
      <c r="AU280" s="1"/>
      <c r="AV280" s="1"/>
      <c r="AX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</row>
    <row r="281" spans="35:87">
      <c r="AI281" s="1"/>
      <c r="AJ281" s="1"/>
      <c r="AK281" s="1"/>
      <c r="AL281" s="1"/>
      <c r="AT281" s="1"/>
      <c r="AU281" s="1"/>
      <c r="AV281" s="1"/>
      <c r="AX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</row>
    <row r="282" spans="35:87">
      <c r="AI282" s="1"/>
      <c r="AJ282" s="1"/>
      <c r="AK282" s="1"/>
      <c r="AL282" s="1"/>
      <c r="AT282" s="1"/>
      <c r="AU282" s="1"/>
      <c r="AV282" s="1"/>
      <c r="AX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</row>
    <row r="283" spans="35:87">
      <c r="AI283" s="1"/>
      <c r="AJ283" s="1"/>
      <c r="AK283" s="1"/>
      <c r="AL283" s="1"/>
      <c r="AT283" s="1"/>
      <c r="AU283" s="1"/>
      <c r="AV283" s="1"/>
      <c r="AX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</row>
    <row r="284" spans="35:87">
      <c r="AI284" s="1"/>
      <c r="AJ284" s="1"/>
      <c r="AK284" s="1"/>
      <c r="AL284" s="1"/>
      <c r="AT284" s="1"/>
      <c r="AU284" s="1"/>
      <c r="AV284" s="1"/>
      <c r="AX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</row>
    <row r="285" spans="35:87">
      <c r="AI285" s="1"/>
      <c r="AJ285" s="1"/>
      <c r="AK285" s="1"/>
      <c r="AL285" s="1"/>
      <c r="AT285" s="1"/>
      <c r="AU285" s="1"/>
      <c r="AV285" s="1"/>
      <c r="AX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</row>
    <row r="286" spans="35:87">
      <c r="AI286" s="1"/>
      <c r="AJ286" s="1"/>
      <c r="AK286" s="1"/>
      <c r="AL286" s="1"/>
      <c r="AT286" s="1"/>
      <c r="AU286" s="1"/>
      <c r="AV286" s="1"/>
      <c r="AX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</row>
    <row r="287" spans="35:87">
      <c r="AI287" s="1"/>
      <c r="AJ287" s="1"/>
      <c r="AK287" s="1"/>
      <c r="AL287" s="1"/>
      <c r="AT287" s="1"/>
      <c r="AU287" s="1"/>
      <c r="AV287" s="1"/>
      <c r="AX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</row>
    <row r="288" spans="35:87">
      <c r="AI288" s="1"/>
      <c r="AJ288" s="1"/>
      <c r="AK288" s="1"/>
      <c r="AL288" s="1"/>
      <c r="AT288" s="1"/>
      <c r="AU288" s="1"/>
      <c r="AV288" s="1"/>
      <c r="AX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</row>
    <row r="289" spans="35:87">
      <c r="AI289" s="1"/>
      <c r="AJ289" s="1"/>
      <c r="AK289" s="1"/>
      <c r="AL289" s="1"/>
      <c r="AT289" s="1"/>
      <c r="AU289" s="1"/>
      <c r="AV289" s="1"/>
      <c r="AX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</row>
    <row r="290" spans="35:87">
      <c r="AI290" s="1"/>
      <c r="AJ290" s="1"/>
      <c r="AK290" s="1"/>
      <c r="AL290" s="1"/>
      <c r="AT290" s="1"/>
      <c r="AU290" s="1"/>
      <c r="AV290" s="1"/>
      <c r="AX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</row>
    <row r="291" spans="35:87">
      <c r="AI291" s="1"/>
      <c r="AJ291" s="1"/>
      <c r="AK291" s="1"/>
      <c r="AL291" s="1"/>
      <c r="AT291" s="1"/>
      <c r="AU291" s="1"/>
      <c r="AV291" s="1"/>
      <c r="AX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</row>
    <row r="292" spans="35:87">
      <c r="AI292" s="1"/>
      <c r="AJ292" s="1"/>
      <c r="AK292" s="1"/>
      <c r="AL292" s="1"/>
      <c r="AT292" s="1"/>
      <c r="AU292" s="1"/>
      <c r="AV292" s="1"/>
      <c r="AX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</row>
    <row r="293" spans="35:87">
      <c r="AI293" s="1"/>
      <c r="AJ293" s="1"/>
      <c r="AK293" s="1"/>
      <c r="AL293" s="1"/>
      <c r="AT293" s="1"/>
      <c r="AU293" s="1"/>
      <c r="AV293" s="1"/>
      <c r="AX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</row>
    <row r="294" spans="35:87">
      <c r="AI294" s="1"/>
      <c r="AJ294" s="1"/>
      <c r="AK294" s="1"/>
      <c r="AL294" s="1"/>
      <c r="AT294" s="1"/>
      <c r="AU294" s="1"/>
      <c r="AV294" s="1"/>
      <c r="AX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</row>
    <row r="295" spans="35:87">
      <c r="AI295" s="1"/>
      <c r="AJ295" s="1"/>
      <c r="AK295" s="1"/>
      <c r="AL295" s="1"/>
      <c r="AT295" s="1"/>
      <c r="AU295" s="1"/>
      <c r="AV295" s="1"/>
      <c r="AX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</row>
    <row r="296" spans="35:87">
      <c r="AI296" s="1"/>
      <c r="AJ296" s="1"/>
      <c r="AK296" s="1"/>
      <c r="AL296" s="1"/>
      <c r="AT296" s="1"/>
      <c r="AU296" s="1"/>
      <c r="AV296" s="1"/>
      <c r="AX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</row>
    <row r="297" spans="35:87">
      <c r="AI297" s="1"/>
      <c r="AJ297" s="1"/>
      <c r="AK297" s="1"/>
      <c r="AL297" s="1"/>
      <c r="AT297" s="1"/>
      <c r="AU297" s="1"/>
      <c r="AV297" s="1"/>
      <c r="AX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</row>
    <row r="298" spans="35:87">
      <c r="AI298" s="1"/>
      <c r="AJ298" s="1"/>
      <c r="AK298" s="1"/>
      <c r="AL298" s="1"/>
      <c r="AT298" s="1"/>
      <c r="AU298" s="1"/>
      <c r="AV298" s="1"/>
      <c r="AX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</row>
    <row r="299" spans="35:87">
      <c r="AI299" s="1"/>
      <c r="AJ299" s="1"/>
      <c r="AK299" s="1"/>
      <c r="AL299" s="1"/>
      <c r="AT299" s="1"/>
      <c r="AU299" s="1"/>
      <c r="AV299" s="1"/>
      <c r="AX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</row>
    <row r="300" spans="35:87">
      <c r="AI300" s="1"/>
      <c r="AJ300" s="1"/>
      <c r="AK300" s="1"/>
      <c r="AL300" s="1"/>
      <c r="AT300" s="1"/>
      <c r="AU300" s="1"/>
      <c r="AV300" s="1"/>
      <c r="AX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</row>
    <row r="301" spans="35:87">
      <c r="AI301" s="1"/>
      <c r="AJ301" s="1"/>
      <c r="AK301" s="1"/>
      <c r="AL301" s="1"/>
      <c r="AT301" s="1"/>
      <c r="AU301" s="1"/>
      <c r="AV301" s="1"/>
      <c r="AX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</row>
    <row r="302" spans="35:87">
      <c r="AI302" s="1"/>
      <c r="AJ302" s="1"/>
      <c r="AK302" s="1"/>
      <c r="AL302" s="1"/>
      <c r="AT302" s="1"/>
      <c r="AU302" s="1"/>
      <c r="AV302" s="1"/>
      <c r="AX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</row>
    <row r="303" spans="35:87">
      <c r="AI303" s="1"/>
      <c r="AJ303" s="1"/>
      <c r="AK303" s="1"/>
      <c r="AL303" s="1"/>
      <c r="AT303" s="1"/>
      <c r="AU303" s="1"/>
      <c r="AV303" s="1"/>
      <c r="AX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</row>
    <row r="304" spans="35:87">
      <c r="AI304" s="1"/>
      <c r="AJ304" s="1"/>
      <c r="AK304" s="1"/>
      <c r="AL304" s="1"/>
      <c r="AT304" s="1"/>
      <c r="AU304" s="1"/>
      <c r="AV304" s="1"/>
      <c r="AX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</row>
    <row r="305" spans="35:87">
      <c r="AI305" s="1"/>
      <c r="AJ305" s="1"/>
      <c r="AK305" s="1"/>
      <c r="AL305" s="1"/>
      <c r="AT305" s="1"/>
      <c r="AU305" s="1"/>
      <c r="AV305" s="1"/>
      <c r="AX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</row>
    <row r="306" spans="35:87">
      <c r="AI306" s="1"/>
      <c r="AJ306" s="1"/>
      <c r="AK306" s="1"/>
      <c r="AL306" s="1"/>
      <c r="AT306" s="1"/>
      <c r="AU306" s="1"/>
      <c r="AV306" s="1"/>
      <c r="AX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</row>
    <row r="307" spans="35:87">
      <c r="AI307" s="1"/>
      <c r="AJ307" s="1"/>
      <c r="AK307" s="1"/>
      <c r="AL307" s="1"/>
      <c r="AT307" s="1"/>
      <c r="AU307" s="1"/>
      <c r="AV307" s="1"/>
      <c r="AX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</row>
    <row r="308" spans="35:87">
      <c r="AI308" s="1"/>
      <c r="AJ308" s="1"/>
      <c r="AK308" s="1"/>
      <c r="AL308" s="1"/>
      <c r="AT308" s="1"/>
      <c r="AU308" s="1"/>
      <c r="AV308" s="1"/>
      <c r="AX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</row>
    <row r="309" spans="35:87">
      <c r="AI309" s="1"/>
      <c r="AJ309" s="1"/>
      <c r="AK309" s="1"/>
      <c r="AL309" s="1"/>
      <c r="AT309" s="1"/>
      <c r="AU309" s="1"/>
      <c r="AV309" s="1"/>
      <c r="AX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</row>
    <row r="310" spans="35:87">
      <c r="AI310" s="1"/>
      <c r="AJ310" s="1"/>
      <c r="AK310" s="1"/>
      <c r="AL310" s="1"/>
      <c r="AT310" s="1"/>
      <c r="AU310" s="1"/>
      <c r="AV310" s="1"/>
      <c r="AX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</row>
    <row r="311" spans="35:87">
      <c r="AI311" s="1"/>
      <c r="AJ311" s="1"/>
      <c r="AK311" s="1"/>
      <c r="AL311" s="1"/>
      <c r="AT311" s="1"/>
      <c r="AU311" s="1"/>
      <c r="AV311" s="1"/>
      <c r="AX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</row>
    <row r="312" spans="35:87">
      <c r="AI312" s="1"/>
      <c r="AJ312" s="1"/>
      <c r="AK312" s="1"/>
      <c r="AL312" s="1"/>
      <c r="AT312" s="1"/>
      <c r="AU312" s="1"/>
      <c r="AV312" s="1"/>
      <c r="AX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</row>
    <row r="313" spans="35:87">
      <c r="AI313" s="1"/>
      <c r="AJ313" s="1"/>
      <c r="AK313" s="1"/>
      <c r="AL313" s="1"/>
      <c r="AT313" s="1"/>
      <c r="AU313" s="1"/>
      <c r="AV313" s="1"/>
      <c r="AX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</row>
    <row r="314" spans="35:87">
      <c r="AI314" s="1"/>
      <c r="AJ314" s="1"/>
      <c r="AK314" s="1"/>
      <c r="AL314" s="1"/>
      <c r="AT314" s="1"/>
      <c r="AU314" s="1"/>
      <c r="AV314" s="1"/>
      <c r="AX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</row>
    <row r="315" spans="35:87">
      <c r="AI315" s="1"/>
      <c r="AJ315" s="1"/>
      <c r="AK315" s="1"/>
      <c r="AL315" s="1"/>
      <c r="AT315" s="1"/>
      <c r="AU315" s="1"/>
      <c r="AV315" s="1"/>
      <c r="AX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</row>
    <row r="316" spans="35:87">
      <c r="AI316" s="1"/>
      <c r="AJ316" s="1"/>
      <c r="AK316" s="1"/>
      <c r="AL316" s="1"/>
      <c r="AT316" s="1"/>
      <c r="AU316" s="1"/>
      <c r="AV316" s="1"/>
      <c r="AX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</row>
    <row r="317" spans="35:87">
      <c r="AI317" s="1"/>
      <c r="AJ317" s="1"/>
      <c r="AK317" s="1"/>
      <c r="AL317" s="1"/>
      <c r="AT317" s="1"/>
      <c r="AU317" s="1"/>
      <c r="AV317" s="1"/>
      <c r="AX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</row>
    <row r="318" spans="35:87">
      <c r="AI318" s="1"/>
      <c r="AJ318" s="1"/>
      <c r="AK318" s="1"/>
      <c r="AL318" s="1"/>
      <c r="AT318" s="1"/>
      <c r="AU318" s="1"/>
      <c r="AV318" s="1"/>
      <c r="AX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</row>
    <row r="319" spans="35:87">
      <c r="AI319" s="1"/>
      <c r="AJ319" s="1"/>
      <c r="AK319" s="1"/>
      <c r="AL319" s="1"/>
      <c r="AT319" s="1"/>
      <c r="AU319" s="1"/>
      <c r="AV319" s="1"/>
      <c r="AX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</row>
    <row r="320" spans="35:87">
      <c r="AI320" s="1"/>
      <c r="AJ320" s="1"/>
      <c r="AK320" s="1"/>
      <c r="AL320" s="1"/>
      <c r="AT320" s="1"/>
      <c r="AU320" s="1"/>
      <c r="AV320" s="1"/>
      <c r="AX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</row>
    <row r="321" spans="35:87">
      <c r="AI321" s="1"/>
      <c r="AJ321" s="1"/>
      <c r="AK321" s="1"/>
      <c r="AL321" s="1"/>
      <c r="AT321" s="1"/>
      <c r="AU321" s="1"/>
      <c r="AV321" s="1"/>
      <c r="AX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</row>
    <row r="322" spans="35:87">
      <c r="AI322" s="1"/>
      <c r="AJ322" s="1"/>
      <c r="AK322" s="1"/>
      <c r="AL322" s="1"/>
      <c r="AT322" s="1"/>
      <c r="AU322" s="1"/>
      <c r="AV322" s="1"/>
      <c r="AX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</row>
    <row r="323" spans="35:87">
      <c r="AI323" s="1"/>
      <c r="AJ323" s="1"/>
      <c r="AK323" s="1"/>
      <c r="AL323" s="1"/>
      <c r="AT323" s="1"/>
      <c r="AU323" s="1"/>
      <c r="AV323" s="1"/>
      <c r="AX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</row>
    <row r="324" spans="35:87">
      <c r="AI324" s="1"/>
      <c r="AJ324" s="1"/>
      <c r="AK324" s="1"/>
      <c r="AL324" s="1"/>
      <c r="AT324" s="1"/>
      <c r="AU324" s="1"/>
      <c r="AV324" s="1"/>
      <c r="AX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</row>
    <row r="325" spans="35:87">
      <c r="AI325" s="1"/>
      <c r="AJ325" s="1"/>
      <c r="AK325" s="1"/>
      <c r="AL325" s="1"/>
      <c r="AT325" s="1"/>
      <c r="AU325" s="1"/>
      <c r="AV325" s="1"/>
      <c r="AX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</row>
    <row r="326" spans="35:87">
      <c r="AI326" s="1"/>
      <c r="AJ326" s="1"/>
      <c r="AK326" s="1"/>
      <c r="AL326" s="1"/>
      <c r="AT326" s="1"/>
      <c r="AU326" s="1"/>
      <c r="AV326" s="1"/>
      <c r="AX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</row>
    <row r="327" spans="35:87">
      <c r="AI327" s="1"/>
      <c r="AJ327" s="1"/>
      <c r="AK327" s="1"/>
      <c r="AL327" s="1"/>
      <c r="AT327" s="1"/>
      <c r="AU327" s="1"/>
      <c r="AV327" s="1"/>
      <c r="AX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</row>
    <row r="328" spans="35:87">
      <c r="AI328" s="1"/>
      <c r="AJ328" s="1"/>
      <c r="AK328" s="1"/>
      <c r="AL328" s="1"/>
      <c r="AT328" s="1"/>
      <c r="AU328" s="1"/>
      <c r="AV328" s="1"/>
      <c r="AX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</row>
    <row r="329" spans="35:87">
      <c r="AI329" s="1"/>
      <c r="AJ329" s="1"/>
      <c r="AK329" s="1"/>
      <c r="AL329" s="1"/>
      <c r="AT329" s="1"/>
      <c r="AU329" s="1"/>
      <c r="AV329" s="1"/>
      <c r="AX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</row>
    <row r="330" spans="35:87">
      <c r="AI330" s="1"/>
      <c r="AJ330" s="1"/>
      <c r="AK330" s="1"/>
      <c r="AL330" s="1"/>
      <c r="AT330" s="1"/>
      <c r="AU330" s="1"/>
      <c r="AV330" s="1"/>
      <c r="AX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</row>
    <row r="331" spans="35:87">
      <c r="AI331" s="1"/>
      <c r="AJ331" s="1"/>
      <c r="AK331" s="1"/>
      <c r="AL331" s="1"/>
      <c r="AT331" s="1"/>
      <c r="AU331" s="1"/>
      <c r="AV331" s="1"/>
      <c r="AX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</row>
    <row r="332" spans="35:87">
      <c r="AI332" s="1"/>
      <c r="AJ332" s="1"/>
      <c r="AK332" s="1"/>
      <c r="AL332" s="1"/>
      <c r="AT332" s="1"/>
      <c r="AU332" s="1"/>
      <c r="AV332" s="1"/>
      <c r="AX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</row>
    <row r="333" spans="35:87">
      <c r="AI333" s="1"/>
      <c r="AJ333" s="1"/>
      <c r="AK333" s="1"/>
      <c r="AL333" s="1"/>
      <c r="AT333" s="1"/>
      <c r="AU333" s="1"/>
      <c r="AV333" s="1"/>
      <c r="AX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</row>
    <row r="334" spans="35:87">
      <c r="AI334" s="1"/>
      <c r="AJ334" s="1"/>
      <c r="AK334" s="1"/>
      <c r="AL334" s="1"/>
      <c r="AT334" s="1"/>
      <c r="AU334" s="1"/>
      <c r="AV334" s="1"/>
      <c r="AX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</row>
    <row r="335" spans="35:87">
      <c r="AI335" s="1"/>
      <c r="AJ335" s="1"/>
      <c r="AK335" s="1"/>
      <c r="AL335" s="1"/>
      <c r="AT335" s="1"/>
      <c r="AU335" s="1"/>
      <c r="AV335" s="1"/>
      <c r="AX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</row>
    <row r="336" spans="35:87">
      <c r="AI336" s="1"/>
      <c r="AJ336" s="1"/>
      <c r="AK336" s="1"/>
      <c r="AL336" s="1"/>
      <c r="AT336" s="1"/>
      <c r="AU336" s="1"/>
      <c r="AV336" s="1"/>
      <c r="AX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</row>
    <row r="337" spans="35:87">
      <c r="AI337" s="1"/>
      <c r="AJ337" s="1"/>
      <c r="AK337" s="1"/>
      <c r="AL337" s="1"/>
      <c r="AT337" s="1"/>
      <c r="AU337" s="1"/>
      <c r="AV337" s="1"/>
      <c r="AX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</row>
    <row r="338" spans="35:87">
      <c r="AI338" s="1"/>
      <c r="AJ338" s="1"/>
      <c r="AK338" s="1"/>
      <c r="AL338" s="1"/>
      <c r="AT338" s="1"/>
      <c r="AU338" s="1"/>
      <c r="AV338" s="1"/>
      <c r="AX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</row>
    <row r="339" spans="35:87">
      <c r="AI339" s="1"/>
      <c r="AJ339" s="1"/>
      <c r="AK339" s="1"/>
      <c r="AL339" s="1"/>
      <c r="AT339" s="1"/>
      <c r="AU339" s="1"/>
      <c r="AV339" s="1"/>
      <c r="AX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</row>
    <row r="340" spans="35:87">
      <c r="AI340" s="1"/>
      <c r="AJ340" s="1"/>
      <c r="AK340" s="1"/>
      <c r="AL340" s="1"/>
      <c r="AT340" s="1"/>
      <c r="AU340" s="1"/>
      <c r="AV340" s="1"/>
      <c r="AX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</row>
    <row r="341" spans="35:87">
      <c r="AI341" s="1"/>
      <c r="AJ341" s="1"/>
      <c r="AK341" s="1"/>
      <c r="AL341" s="1"/>
      <c r="AT341" s="1"/>
      <c r="AU341" s="1"/>
      <c r="AV341" s="1"/>
      <c r="AX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</row>
    <row r="342" spans="35:87">
      <c r="AI342" s="1"/>
      <c r="AJ342" s="1"/>
      <c r="AK342" s="1"/>
      <c r="AL342" s="1"/>
      <c r="AT342" s="1"/>
      <c r="AU342" s="1"/>
      <c r="AV342" s="1"/>
      <c r="AX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</row>
    <row r="343" spans="35:87">
      <c r="AI343" s="1"/>
      <c r="AJ343" s="1"/>
      <c r="AK343" s="1"/>
      <c r="AL343" s="1"/>
      <c r="AT343" s="1"/>
      <c r="AU343" s="1"/>
      <c r="AV343" s="1"/>
      <c r="AX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</row>
    <row r="344" spans="35:87">
      <c r="AI344" s="1"/>
      <c r="AJ344" s="1"/>
      <c r="AK344" s="1"/>
      <c r="AL344" s="1"/>
      <c r="AT344" s="1"/>
      <c r="AU344" s="1"/>
      <c r="AV344" s="1"/>
      <c r="AX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</row>
    <row r="345" spans="35:87">
      <c r="AI345" s="1"/>
      <c r="AJ345" s="1"/>
      <c r="AK345" s="1"/>
      <c r="AL345" s="1"/>
      <c r="AT345" s="1"/>
      <c r="AU345" s="1"/>
      <c r="AV345" s="1"/>
      <c r="AX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</row>
    <row r="346" spans="35:87">
      <c r="AI346" s="1"/>
      <c r="AJ346" s="1"/>
      <c r="AK346" s="1"/>
      <c r="AL346" s="1"/>
      <c r="AT346" s="1"/>
      <c r="AU346" s="1"/>
      <c r="AV346" s="1"/>
      <c r="AX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</row>
    <row r="347" spans="35:87">
      <c r="AI347" s="1"/>
      <c r="AJ347" s="1"/>
      <c r="AK347" s="1"/>
      <c r="AL347" s="1"/>
      <c r="AT347" s="1"/>
      <c r="AU347" s="1"/>
      <c r="AV347" s="1"/>
      <c r="AX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</row>
    <row r="348" spans="35:87">
      <c r="AI348" s="1"/>
      <c r="AJ348" s="1"/>
      <c r="AK348" s="1"/>
      <c r="AL348" s="1"/>
      <c r="AT348" s="1"/>
      <c r="AU348" s="1"/>
      <c r="AV348" s="1"/>
      <c r="AX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</row>
    <row r="349" spans="35:87">
      <c r="AI349" s="1"/>
      <c r="AJ349" s="1"/>
      <c r="AK349" s="1"/>
      <c r="AL349" s="1"/>
      <c r="AT349" s="1"/>
      <c r="AU349" s="1"/>
      <c r="AV349" s="1"/>
      <c r="AX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</row>
    <row r="350" spans="35:87">
      <c r="AI350" s="1"/>
      <c r="AJ350" s="1"/>
      <c r="AK350" s="1"/>
      <c r="AL350" s="1"/>
      <c r="AT350" s="1"/>
      <c r="AU350" s="1"/>
      <c r="AV350" s="1"/>
      <c r="AX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</row>
    <row r="351" spans="35:87">
      <c r="AI351" s="1"/>
      <c r="AJ351" s="1"/>
      <c r="AK351" s="1"/>
      <c r="AL351" s="1"/>
      <c r="AT351" s="1"/>
      <c r="AU351" s="1"/>
      <c r="AV351" s="1"/>
      <c r="AX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</row>
    <row r="352" spans="35:87">
      <c r="AI352" s="1"/>
      <c r="AJ352" s="1"/>
      <c r="AK352" s="1"/>
      <c r="AL352" s="1"/>
      <c r="AT352" s="1"/>
      <c r="AU352" s="1"/>
      <c r="AV352" s="1"/>
      <c r="AX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</row>
    <row r="353" spans="35:87">
      <c r="AI353" s="1"/>
      <c r="AJ353" s="1"/>
      <c r="AK353" s="1"/>
      <c r="AL353" s="1"/>
      <c r="AT353" s="1"/>
      <c r="AU353" s="1"/>
      <c r="AV353" s="1"/>
      <c r="AX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</row>
    <row r="354" spans="35:87">
      <c r="AI354" s="1"/>
      <c r="AJ354" s="1"/>
      <c r="AK354" s="1"/>
      <c r="AL354" s="1"/>
      <c r="AT354" s="1"/>
      <c r="AU354" s="1"/>
      <c r="AV354" s="1"/>
      <c r="AX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</row>
    <row r="355" spans="35:87">
      <c r="AI355" s="1"/>
      <c r="AJ355" s="1"/>
      <c r="AK355" s="1"/>
      <c r="AL355" s="1"/>
      <c r="AT355" s="1"/>
      <c r="AU355" s="1"/>
      <c r="AV355" s="1"/>
      <c r="AX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</row>
    <row r="356" spans="35:87">
      <c r="AI356" s="1"/>
      <c r="AJ356" s="1"/>
      <c r="AK356" s="1"/>
      <c r="AL356" s="1"/>
      <c r="AT356" s="1"/>
      <c r="AU356" s="1"/>
      <c r="AV356" s="1"/>
      <c r="AX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</row>
    <row r="357" spans="35:87">
      <c r="AI357" s="1"/>
      <c r="AJ357" s="1"/>
      <c r="AK357" s="1"/>
      <c r="AL357" s="1"/>
      <c r="AT357" s="1"/>
      <c r="AU357" s="1"/>
      <c r="AV357" s="1"/>
      <c r="AX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</row>
    <row r="358" spans="35:87">
      <c r="AI358" s="1"/>
      <c r="AJ358" s="1"/>
      <c r="AK358" s="1"/>
      <c r="AL358" s="1"/>
      <c r="AT358" s="1"/>
      <c r="AU358" s="1"/>
      <c r="AV358" s="1"/>
      <c r="AX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</row>
    <row r="359" spans="35:87">
      <c r="AI359" s="1"/>
      <c r="AJ359" s="1"/>
      <c r="AK359" s="1"/>
      <c r="AL359" s="1"/>
      <c r="AT359" s="1"/>
      <c r="AU359" s="1"/>
      <c r="AV359" s="1"/>
      <c r="AX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</row>
    <row r="360" spans="35:87">
      <c r="AI360" s="1"/>
      <c r="AJ360" s="1"/>
      <c r="AK360" s="1"/>
      <c r="AL360" s="1"/>
      <c r="AT360" s="1"/>
      <c r="AU360" s="1"/>
      <c r="AV360" s="1"/>
      <c r="AX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</row>
    <row r="361" spans="35:87">
      <c r="AI361" s="1"/>
      <c r="AJ361" s="1"/>
      <c r="AK361" s="1"/>
      <c r="AL361" s="1"/>
      <c r="AT361" s="1"/>
      <c r="AU361" s="1"/>
      <c r="AV361" s="1"/>
      <c r="AX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</row>
    <row r="362" spans="35:87">
      <c r="AI362" s="1"/>
      <c r="AJ362" s="1"/>
      <c r="AK362" s="1"/>
      <c r="AL362" s="1"/>
      <c r="AT362" s="1"/>
      <c r="AU362" s="1"/>
      <c r="AV362" s="1"/>
      <c r="AX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</row>
    <row r="363" spans="35:87">
      <c r="AI363" s="1"/>
      <c r="AJ363" s="1"/>
      <c r="AK363" s="1"/>
      <c r="AL363" s="1"/>
      <c r="AT363" s="1"/>
      <c r="AU363" s="1"/>
      <c r="AV363" s="1"/>
      <c r="AX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</row>
    <row r="364" spans="35:87">
      <c r="AI364" s="1"/>
      <c r="AJ364" s="1"/>
      <c r="AK364" s="1"/>
      <c r="AL364" s="1"/>
      <c r="AT364" s="1"/>
      <c r="AU364" s="1"/>
      <c r="AV364" s="1"/>
      <c r="AX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</row>
    <row r="365" spans="35:87">
      <c r="AI365" s="1"/>
      <c r="AJ365" s="1"/>
      <c r="AK365" s="1"/>
      <c r="AL365" s="1"/>
      <c r="AT365" s="1"/>
      <c r="AU365" s="1"/>
      <c r="AV365" s="1"/>
      <c r="AX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</row>
    <row r="366" spans="35:87">
      <c r="AI366" s="1"/>
      <c r="AJ366" s="1"/>
      <c r="AK366" s="1"/>
      <c r="AL366" s="1"/>
      <c r="AT366" s="1"/>
      <c r="AU366" s="1"/>
      <c r="AV366" s="1"/>
      <c r="AX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</row>
    <row r="367" spans="35:87">
      <c r="AI367" s="1"/>
      <c r="AJ367" s="1"/>
      <c r="AK367" s="1"/>
      <c r="AL367" s="1"/>
      <c r="AT367" s="1"/>
      <c r="AU367" s="1"/>
      <c r="AV367" s="1"/>
      <c r="AX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</row>
    <row r="368" spans="35:87">
      <c r="AI368" s="1"/>
      <c r="AJ368" s="1"/>
      <c r="AK368" s="1"/>
      <c r="AL368" s="1"/>
      <c r="AT368" s="1"/>
      <c r="AU368" s="1"/>
      <c r="AV368" s="1"/>
      <c r="AX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</row>
    <row r="369" spans="35:87">
      <c r="AI369" s="1"/>
      <c r="AJ369" s="1"/>
      <c r="AK369" s="1"/>
      <c r="AL369" s="1"/>
      <c r="AT369" s="1"/>
      <c r="AU369" s="1"/>
      <c r="AV369" s="1"/>
      <c r="AX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</row>
    <row r="370" spans="35:87">
      <c r="AI370" s="1"/>
      <c r="AJ370" s="1"/>
      <c r="AK370" s="1"/>
      <c r="AL370" s="1"/>
      <c r="AT370" s="1"/>
      <c r="AU370" s="1"/>
      <c r="AV370" s="1"/>
      <c r="AX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</row>
    <row r="371" spans="35:87">
      <c r="AI371" s="1"/>
      <c r="AJ371" s="1"/>
      <c r="AK371" s="1"/>
      <c r="AL371" s="1"/>
      <c r="AT371" s="1"/>
      <c r="AU371" s="1"/>
      <c r="AV371" s="1"/>
      <c r="AX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</row>
    <row r="372" spans="35:87">
      <c r="AI372" s="1"/>
      <c r="AJ372" s="1"/>
      <c r="AK372" s="1"/>
      <c r="AL372" s="1"/>
      <c r="AT372" s="1"/>
      <c r="AU372" s="1"/>
      <c r="AV372" s="1"/>
      <c r="AX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</row>
    <row r="373" spans="35:87">
      <c r="AI373" s="1"/>
      <c r="AJ373" s="1"/>
      <c r="AK373" s="1"/>
      <c r="AL373" s="1"/>
      <c r="AT373" s="1"/>
      <c r="AU373" s="1"/>
      <c r="AV373" s="1"/>
      <c r="AX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</row>
    <row r="374" spans="35:87">
      <c r="AI374" s="1"/>
      <c r="AJ374" s="1"/>
      <c r="AK374" s="1"/>
      <c r="AL374" s="1"/>
      <c r="AT374" s="1"/>
      <c r="AU374" s="1"/>
      <c r="AV374" s="1"/>
      <c r="AX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</row>
    <row r="375" spans="35:87">
      <c r="AI375" s="1"/>
      <c r="AJ375" s="1"/>
      <c r="AK375" s="1"/>
      <c r="AL375" s="1"/>
      <c r="AT375" s="1"/>
      <c r="AU375" s="1"/>
      <c r="AV375" s="1"/>
      <c r="AX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</row>
    <row r="376" spans="35:87">
      <c r="AI376" s="1"/>
      <c r="AJ376" s="1"/>
      <c r="AK376" s="1"/>
      <c r="AL376" s="1"/>
      <c r="AT376" s="1"/>
      <c r="AU376" s="1"/>
      <c r="AV376" s="1"/>
      <c r="AX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</row>
    <row r="377" spans="35:87">
      <c r="AI377" s="1"/>
      <c r="AJ377" s="1"/>
      <c r="AK377" s="1"/>
      <c r="AL377" s="1"/>
      <c r="AT377" s="1"/>
      <c r="AU377" s="1"/>
      <c r="AV377" s="1"/>
      <c r="AX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</row>
    <row r="378" spans="35:87">
      <c r="AI378" s="1"/>
      <c r="AJ378" s="1"/>
      <c r="AK378" s="1"/>
      <c r="AL378" s="1"/>
      <c r="AT378" s="1"/>
      <c r="AU378" s="1"/>
      <c r="AV378" s="1"/>
      <c r="AX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</row>
    <row r="379" spans="35:87">
      <c r="AI379" s="1"/>
      <c r="AJ379" s="1"/>
      <c r="AK379" s="1"/>
      <c r="AL379" s="1"/>
      <c r="AT379" s="1"/>
      <c r="AU379" s="1"/>
      <c r="AV379" s="1"/>
      <c r="AX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</row>
    <row r="380" spans="35:87">
      <c r="AI380" s="1"/>
      <c r="AJ380" s="1"/>
      <c r="AK380" s="1"/>
      <c r="AL380" s="1"/>
      <c r="AT380" s="1"/>
      <c r="AU380" s="1"/>
      <c r="AV380" s="1"/>
      <c r="AX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</row>
    <row r="381" spans="35:87">
      <c r="AI381" s="1"/>
      <c r="AJ381" s="1"/>
      <c r="AK381" s="1"/>
      <c r="AL381" s="1"/>
      <c r="AT381" s="1"/>
      <c r="AU381" s="1"/>
      <c r="AV381" s="1"/>
      <c r="AX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</row>
    <row r="382" spans="35:87">
      <c r="AI382" s="1"/>
      <c r="AJ382" s="1"/>
      <c r="AK382" s="1"/>
      <c r="AL382" s="1"/>
      <c r="AT382" s="1"/>
      <c r="AU382" s="1"/>
      <c r="AV382" s="1"/>
      <c r="AX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</row>
    <row r="383" spans="35:87">
      <c r="AI383" s="1"/>
      <c r="AJ383" s="1"/>
      <c r="AK383" s="1"/>
      <c r="AL383" s="1"/>
      <c r="AT383" s="1"/>
      <c r="AU383" s="1"/>
      <c r="AV383" s="1"/>
      <c r="AX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</row>
    <row r="384" spans="35:87">
      <c r="AI384" s="1"/>
      <c r="AJ384" s="1"/>
      <c r="AK384" s="1"/>
      <c r="AL384" s="1"/>
      <c r="AT384" s="1"/>
      <c r="AU384" s="1"/>
      <c r="AV384" s="1"/>
      <c r="AX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</row>
    <row r="385" spans="35:87">
      <c r="AI385" s="1"/>
      <c r="AJ385" s="1"/>
      <c r="AK385" s="1"/>
      <c r="AL385" s="1"/>
      <c r="AT385" s="1"/>
      <c r="AU385" s="1"/>
      <c r="AV385" s="1"/>
      <c r="AX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</row>
    <row r="386" spans="35:87">
      <c r="AI386" s="1"/>
      <c r="AJ386" s="1"/>
      <c r="AK386" s="1"/>
      <c r="AL386" s="1"/>
      <c r="AT386" s="1"/>
      <c r="AU386" s="1"/>
      <c r="AV386" s="1"/>
      <c r="AX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</row>
    <row r="387" spans="35:87">
      <c r="AI387" s="1"/>
      <c r="AJ387" s="1"/>
      <c r="AK387" s="1"/>
      <c r="AL387" s="1"/>
      <c r="AT387" s="1"/>
      <c r="AU387" s="1"/>
      <c r="AV387" s="1"/>
      <c r="AX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</row>
    <row r="388" spans="35:87">
      <c r="AI388" s="1"/>
      <c r="AJ388" s="1"/>
      <c r="AK388" s="1"/>
      <c r="AL388" s="1"/>
      <c r="AT388" s="1"/>
      <c r="AU388" s="1"/>
      <c r="AV388" s="1"/>
      <c r="AX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</row>
    <row r="389" spans="35:87">
      <c r="AI389" s="1"/>
      <c r="AJ389" s="1"/>
      <c r="AK389" s="1"/>
      <c r="AL389" s="1"/>
      <c r="AT389" s="1"/>
      <c r="AU389" s="1"/>
      <c r="AV389" s="1"/>
      <c r="AX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</row>
    <row r="390" spans="35:87">
      <c r="AI390" s="1"/>
      <c r="AJ390" s="1"/>
      <c r="AK390" s="1"/>
      <c r="AL390" s="1"/>
      <c r="AT390" s="1"/>
      <c r="AU390" s="1"/>
      <c r="AV390" s="1"/>
      <c r="AX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</row>
    <row r="391" spans="35:87">
      <c r="AI391" s="1"/>
      <c r="AJ391" s="1"/>
      <c r="AK391" s="1"/>
      <c r="AL391" s="1"/>
      <c r="AT391" s="1"/>
      <c r="AU391" s="1"/>
      <c r="AV391" s="1"/>
      <c r="AX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</row>
    <row r="392" spans="35:87">
      <c r="AI392" s="1"/>
      <c r="AJ392" s="1"/>
      <c r="AK392" s="1"/>
      <c r="AL392" s="1"/>
      <c r="AT392" s="1"/>
      <c r="AU392" s="1"/>
      <c r="AV392" s="1"/>
      <c r="AX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</row>
    <row r="393" spans="35:87">
      <c r="AI393" s="1"/>
      <c r="AJ393" s="1"/>
      <c r="AK393" s="1"/>
      <c r="AL393" s="1"/>
      <c r="AT393" s="1"/>
      <c r="AU393" s="1"/>
      <c r="AV393" s="1"/>
      <c r="AX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</row>
    <row r="394" spans="35:87">
      <c r="AI394" s="1"/>
      <c r="AJ394" s="1"/>
      <c r="AK394" s="1"/>
      <c r="AL394" s="1"/>
      <c r="AT394" s="1"/>
      <c r="AU394" s="1"/>
      <c r="AV394" s="1"/>
      <c r="AX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</row>
    <row r="395" spans="35:87">
      <c r="AI395" s="1"/>
      <c r="AJ395" s="1"/>
      <c r="AK395" s="1"/>
      <c r="AL395" s="1"/>
      <c r="AT395" s="1"/>
      <c r="AU395" s="1"/>
      <c r="AV395" s="1"/>
      <c r="AX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</row>
    <row r="396" spans="35:87">
      <c r="AI396" s="1"/>
      <c r="AJ396" s="1"/>
      <c r="AK396" s="1"/>
      <c r="AL396" s="1"/>
      <c r="AT396" s="1"/>
      <c r="AU396" s="1"/>
      <c r="AV396" s="1"/>
      <c r="AX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</row>
    <row r="397" spans="35:87">
      <c r="AI397" s="1"/>
      <c r="AJ397" s="1"/>
      <c r="AK397" s="1"/>
      <c r="AL397" s="1"/>
      <c r="AT397" s="1"/>
      <c r="AU397" s="1"/>
      <c r="AV397" s="1"/>
      <c r="AX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</row>
    <row r="398" spans="35:87">
      <c r="AI398" s="1"/>
      <c r="AJ398" s="1"/>
      <c r="AK398" s="1"/>
      <c r="AL398" s="1"/>
      <c r="AT398" s="1"/>
      <c r="AU398" s="1"/>
      <c r="AV398" s="1"/>
      <c r="AX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</row>
    <row r="399" spans="35:87">
      <c r="AI399" s="1"/>
      <c r="AJ399" s="1"/>
      <c r="AK399" s="1"/>
      <c r="AL399" s="1"/>
      <c r="AT399" s="1"/>
      <c r="AU399" s="1"/>
      <c r="AV399" s="1"/>
      <c r="AX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</row>
    <row r="400" spans="35:87">
      <c r="AI400" s="1"/>
      <c r="AJ400" s="1"/>
      <c r="AK400" s="1"/>
      <c r="AL400" s="1"/>
      <c r="AT400" s="1"/>
      <c r="AU400" s="1"/>
      <c r="AV400" s="1"/>
      <c r="AX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</row>
    <row r="401" spans="35:87">
      <c r="AI401" s="1"/>
      <c r="AJ401" s="1"/>
      <c r="AK401" s="1"/>
      <c r="AL401" s="1"/>
      <c r="AT401" s="1"/>
      <c r="AU401" s="1"/>
      <c r="AV401" s="1"/>
      <c r="AX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</row>
    <row r="402" spans="35:87">
      <c r="AI402" s="1"/>
      <c r="AJ402" s="1"/>
      <c r="AK402" s="1"/>
      <c r="AL402" s="1"/>
      <c r="AT402" s="1"/>
      <c r="AU402" s="1"/>
      <c r="AV402" s="1"/>
      <c r="AX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</row>
    <row r="403" spans="35:87">
      <c r="AI403" s="1"/>
      <c r="AJ403" s="1"/>
      <c r="AK403" s="1"/>
      <c r="AL403" s="1"/>
      <c r="AT403" s="1"/>
      <c r="AU403" s="1"/>
      <c r="AV403" s="1"/>
      <c r="AX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</row>
    <row r="404" spans="35:87">
      <c r="AI404" s="1"/>
      <c r="AJ404" s="1"/>
      <c r="AK404" s="1"/>
      <c r="AL404" s="1"/>
      <c r="AT404" s="1"/>
      <c r="AU404" s="1"/>
      <c r="AV404" s="1"/>
      <c r="AX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</row>
    <row r="405" spans="35:87">
      <c r="AI405" s="1"/>
      <c r="AJ405" s="1"/>
      <c r="AK405" s="1"/>
      <c r="AL405" s="1"/>
      <c r="AT405" s="1"/>
      <c r="AU405" s="1"/>
      <c r="AV405" s="1"/>
      <c r="AX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</row>
    <row r="406" spans="35:87">
      <c r="AI406" s="1"/>
      <c r="AJ406" s="1"/>
      <c r="AK406" s="1"/>
      <c r="AL406" s="1"/>
      <c r="AT406" s="1"/>
      <c r="AU406" s="1"/>
      <c r="AV406" s="1"/>
      <c r="AX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</row>
    <row r="407" spans="35:87">
      <c r="AI407" s="1"/>
      <c r="AJ407" s="1"/>
      <c r="AK407" s="1"/>
      <c r="AL407" s="1"/>
      <c r="AT407" s="1"/>
      <c r="AU407" s="1"/>
      <c r="AV407" s="1"/>
      <c r="AX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</row>
    <row r="408" spans="35:87">
      <c r="AI408" s="1"/>
      <c r="AJ408" s="1"/>
      <c r="AK408" s="1"/>
      <c r="AL408" s="1"/>
      <c r="AT408" s="1"/>
      <c r="AU408" s="1"/>
      <c r="AV408" s="1"/>
      <c r="AX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</row>
    <row r="409" spans="35:87">
      <c r="AI409" s="1"/>
      <c r="AJ409" s="1"/>
      <c r="AK409" s="1"/>
      <c r="AL409" s="1"/>
      <c r="AT409" s="1"/>
      <c r="AU409" s="1"/>
      <c r="AV409" s="1"/>
      <c r="AX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</row>
    <row r="410" spans="35:87">
      <c r="AI410" s="1"/>
      <c r="AJ410" s="1"/>
      <c r="AK410" s="1"/>
      <c r="AL410" s="1"/>
      <c r="AT410" s="1"/>
      <c r="AU410" s="1"/>
      <c r="AV410" s="1"/>
      <c r="AX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</row>
    <row r="411" spans="35:87">
      <c r="AI411" s="1"/>
      <c r="AJ411" s="1"/>
      <c r="AK411" s="1"/>
      <c r="AL411" s="1"/>
      <c r="AT411" s="1"/>
      <c r="AU411" s="1"/>
      <c r="AV411" s="1"/>
      <c r="AX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</row>
    <row r="412" spans="35:87">
      <c r="AI412" s="1"/>
      <c r="AJ412" s="1"/>
      <c r="AK412" s="1"/>
      <c r="AL412" s="1"/>
      <c r="AT412" s="1"/>
      <c r="AU412" s="1"/>
      <c r="AV412" s="1"/>
      <c r="AX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</row>
    <row r="413" spans="35:87">
      <c r="AI413" s="1"/>
      <c r="AJ413" s="1"/>
      <c r="AK413" s="1"/>
      <c r="AL413" s="1"/>
      <c r="AT413" s="1"/>
      <c r="AU413" s="1"/>
      <c r="AV413" s="1"/>
      <c r="AX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</row>
    <row r="414" spans="35:87">
      <c r="AI414" s="1"/>
      <c r="AJ414" s="1"/>
      <c r="AK414" s="1"/>
      <c r="AL414" s="1"/>
      <c r="AT414" s="1"/>
      <c r="AU414" s="1"/>
      <c r="AV414" s="1"/>
      <c r="AX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</row>
    <row r="415" spans="35:87">
      <c r="AI415" s="1"/>
      <c r="AJ415" s="1"/>
      <c r="AK415" s="1"/>
      <c r="AL415" s="1"/>
      <c r="AT415" s="1"/>
      <c r="AU415" s="1"/>
      <c r="AV415" s="1"/>
      <c r="AX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</row>
    <row r="416" spans="35:87">
      <c r="AI416" s="1"/>
      <c r="AJ416" s="1"/>
      <c r="AK416" s="1"/>
      <c r="AL416" s="1"/>
      <c r="AT416" s="1"/>
      <c r="AU416" s="1"/>
      <c r="AV416" s="1"/>
      <c r="AX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</row>
    <row r="417" spans="35:87">
      <c r="AI417" s="1"/>
      <c r="AJ417" s="1"/>
      <c r="AK417" s="1"/>
      <c r="AL417" s="1"/>
      <c r="AT417" s="1"/>
      <c r="AU417" s="1"/>
      <c r="AV417" s="1"/>
      <c r="AX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</row>
    <row r="418" spans="35:87">
      <c r="AI418" s="1"/>
      <c r="AJ418" s="1"/>
      <c r="AK418" s="1"/>
      <c r="AL418" s="1"/>
      <c r="AT418" s="1"/>
      <c r="AU418" s="1"/>
      <c r="AV418" s="1"/>
      <c r="AX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</row>
    <row r="419" spans="35:87">
      <c r="AI419" s="1"/>
      <c r="AJ419" s="1"/>
      <c r="AK419" s="1"/>
      <c r="AL419" s="1"/>
      <c r="AT419" s="1"/>
      <c r="AU419" s="1"/>
      <c r="AV419" s="1"/>
      <c r="AX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</row>
    <row r="420" spans="35:87">
      <c r="AI420" s="1"/>
      <c r="AJ420" s="1"/>
      <c r="AK420" s="1"/>
      <c r="AL420" s="1"/>
      <c r="AT420" s="1"/>
      <c r="AU420" s="1"/>
      <c r="AV420" s="1"/>
      <c r="AX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</row>
    <row r="421" spans="35:87">
      <c r="AI421" s="1"/>
      <c r="AJ421" s="1"/>
      <c r="AK421" s="1"/>
      <c r="AL421" s="1"/>
      <c r="AT421" s="1"/>
      <c r="AU421" s="1"/>
      <c r="AV421" s="1"/>
      <c r="AX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</row>
    <row r="422" spans="35:87">
      <c r="AI422" s="1"/>
      <c r="AJ422" s="1"/>
      <c r="AK422" s="1"/>
      <c r="AL422" s="1"/>
      <c r="AT422" s="1"/>
      <c r="AU422" s="1"/>
      <c r="AV422" s="1"/>
      <c r="AX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</row>
    <row r="423" spans="35:87">
      <c r="AI423" s="1"/>
      <c r="AJ423" s="1"/>
      <c r="AK423" s="1"/>
      <c r="AL423" s="1"/>
      <c r="AT423" s="1"/>
      <c r="AU423" s="1"/>
      <c r="AV423" s="1"/>
      <c r="AX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</row>
    <row r="424" spans="35:87">
      <c r="AI424" s="1"/>
      <c r="AJ424" s="1"/>
      <c r="AK424" s="1"/>
      <c r="AL424" s="1"/>
      <c r="AT424" s="1"/>
      <c r="AU424" s="1"/>
      <c r="AV424" s="1"/>
      <c r="AX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</row>
    <row r="425" spans="35:87">
      <c r="AI425" s="1"/>
      <c r="AJ425" s="1"/>
      <c r="AK425" s="1"/>
      <c r="AL425" s="1"/>
      <c r="AT425" s="1"/>
      <c r="AU425" s="1"/>
      <c r="AV425" s="1"/>
      <c r="AX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</row>
    <row r="426" spans="35:87">
      <c r="AI426" s="1"/>
      <c r="AJ426" s="1"/>
      <c r="AK426" s="1"/>
      <c r="AL426" s="1"/>
      <c r="AT426" s="1"/>
      <c r="AU426" s="1"/>
      <c r="AV426" s="1"/>
      <c r="AX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</row>
    <row r="427" spans="35:87">
      <c r="AI427" s="1"/>
      <c r="AJ427" s="1"/>
      <c r="AK427" s="1"/>
      <c r="AL427" s="1"/>
      <c r="AT427" s="1"/>
      <c r="AU427" s="1"/>
      <c r="AV427" s="1"/>
      <c r="AX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</row>
    <row r="428" spans="35:87">
      <c r="AI428" s="1"/>
      <c r="AJ428" s="1"/>
      <c r="AK428" s="1"/>
      <c r="AL428" s="1"/>
      <c r="AT428" s="1"/>
      <c r="AU428" s="1"/>
      <c r="AV428" s="1"/>
      <c r="AX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</row>
    <row r="429" spans="35:87">
      <c r="AI429" s="1"/>
      <c r="AJ429" s="1"/>
      <c r="AK429" s="1"/>
      <c r="AL429" s="1"/>
      <c r="AT429" s="1"/>
      <c r="AU429" s="1"/>
      <c r="AV429" s="1"/>
      <c r="AX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</row>
    <row r="430" spans="35:87">
      <c r="AI430" s="1"/>
      <c r="AJ430" s="1"/>
      <c r="AK430" s="1"/>
      <c r="AL430" s="1"/>
      <c r="AT430" s="1"/>
      <c r="AU430" s="1"/>
      <c r="AV430" s="1"/>
      <c r="AX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</row>
    <row r="431" spans="35:87">
      <c r="AI431" s="1"/>
      <c r="AJ431" s="1"/>
      <c r="AK431" s="1"/>
      <c r="AL431" s="1"/>
      <c r="AT431" s="1"/>
      <c r="AU431" s="1"/>
      <c r="AV431" s="1"/>
      <c r="AX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</row>
    <row r="432" spans="35:87">
      <c r="AI432" s="1"/>
      <c r="AJ432" s="1"/>
      <c r="AK432" s="1"/>
      <c r="AL432" s="1"/>
      <c r="AT432" s="1"/>
      <c r="AU432" s="1"/>
      <c r="AV432" s="1"/>
      <c r="AX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</row>
    <row r="433" spans="35:87">
      <c r="AI433" s="1"/>
      <c r="AJ433" s="1"/>
      <c r="AK433" s="1"/>
      <c r="AL433" s="1"/>
      <c r="AT433" s="1"/>
      <c r="AU433" s="1"/>
      <c r="AV433" s="1"/>
      <c r="AX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</row>
    <row r="434" spans="35:87">
      <c r="AI434" s="1"/>
      <c r="AJ434" s="1"/>
      <c r="AK434" s="1"/>
      <c r="AL434" s="1"/>
      <c r="AT434" s="1"/>
      <c r="AU434" s="1"/>
      <c r="AV434" s="1"/>
      <c r="AX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</row>
    <row r="435" spans="35:87">
      <c r="AI435" s="1"/>
      <c r="AJ435" s="1"/>
      <c r="AK435" s="1"/>
      <c r="AL435" s="1"/>
      <c r="AT435" s="1"/>
      <c r="AU435" s="1"/>
      <c r="AV435" s="1"/>
      <c r="AX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</row>
    <row r="436" spans="35:87">
      <c r="AI436" s="1"/>
      <c r="AJ436" s="1"/>
      <c r="AK436" s="1"/>
      <c r="AL436" s="1"/>
      <c r="AT436" s="1"/>
      <c r="AU436" s="1"/>
      <c r="AV436" s="1"/>
      <c r="AX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</row>
    <row r="437" spans="35:87">
      <c r="AI437" s="1"/>
      <c r="AJ437" s="1"/>
      <c r="AK437" s="1"/>
      <c r="AL437" s="1"/>
      <c r="AT437" s="1"/>
      <c r="AU437" s="1"/>
      <c r="AV437" s="1"/>
      <c r="AX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</row>
    <row r="438" spans="35:87">
      <c r="AI438" s="1"/>
      <c r="AJ438" s="1"/>
      <c r="AK438" s="1"/>
      <c r="AL438" s="1"/>
      <c r="AT438" s="1"/>
      <c r="AU438" s="1"/>
      <c r="AV438" s="1"/>
      <c r="AX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</row>
    <row r="439" spans="35:87">
      <c r="AI439" s="1"/>
      <c r="AJ439" s="1"/>
      <c r="AK439" s="1"/>
      <c r="AL439" s="1"/>
      <c r="AT439" s="1"/>
      <c r="AU439" s="1"/>
      <c r="AV439" s="1"/>
      <c r="AX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</row>
    <row r="440" spans="35:87">
      <c r="AI440" s="1"/>
      <c r="AJ440" s="1"/>
      <c r="AK440" s="1"/>
      <c r="AL440" s="1"/>
      <c r="AT440" s="1"/>
      <c r="AU440" s="1"/>
      <c r="AV440" s="1"/>
      <c r="AX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</row>
    <row r="441" spans="35:87">
      <c r="AI441" s="1"/>
      <c r="AJ441" s="1"/>
      <c r="AK441" s="1"/>
      <c r="AL441" s="1"/>
      <c r="AT441" s="1"/>
      <c r="AU441" s="1"/>
      <c r="AV441" s="1"/>
      <c r="AX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</row>
    <row r="442" spans="35:87">
      <c r="AI442" s="1"/>
      <c r="AJ442" s="1"/>
      <c r="AK442" s="1"/>
      <c r="AL442" s="1"/>
      <c r="AT442" s="1"/>
      <c r="AU442" s="1"/>
      <c r="AV442" s="1"/>
      <c r="AX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</row>
    <row r="443" spans="35:87">
      <c r="AI443" s="1"/>
      <c r="AJ443" s="1"/>
      <c r="AK443" s="1"/>
      <c r="AL443" s="1"/>
      <c r="AT443" s="1"/>
      <c r="AU443" s="1"/>
      <c r="AV443" s="1"/>
      <c r="AX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</row>
    <row r="444" spans="35:87">
      <c r="AI444" s="1"/>
      <c r="AJ444" s="1"/>
      <c r="AK444" s="1"/>
      <c r="AL444" s="1"/>
      <c r="AT444" s="1"/>
      <c r="AU444" s="1"/>
      <c r="AV444" s="1"/>
      <c r="AX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</row>
    <row r="445" spans="35:87">
      <c r="AI445" s="1"/>
      <c r="AJ445" s="1"/>
      <c r="AK445" s="1"/>
      <c r="AL445" s="1"/>
      <c r="AT445" s="1"/>
      <c r="AU445" s="1"/>
      <c r="AV445" s="1"/>
      <c r="AX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</row>
    <row r="446" spans="35:87">
      <c r="AI446" s="1"/>
      <c r="AJ446" s="1"/>
      <c r="AK446" s="1"/>
      <c r="AL446" s="1"/>
      <c r="AT446" s="1"/>
      <c r="AU446" s="1"/>
      <c r="AV446" s="1"/>
      <c r="AX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</row>
    <row r="447" spans="35:87">
      <c r="AI447" s="1"/>
      <c r="AJ447" s="1"/>
      <c r="AK447" s="1"/>
      <c r="AL447" s="1"/>
      <c r="AT447" s="1"/>
      <c r="AU447" s="1"/>
      <c r="AV447" s="1"/>
      <c r="AX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</row>
    <row r="448" spans="35:87">
      <c r="AI448" s="1"/>
      <c r="AJ448" s="1"/>
      <c r="AK448" s="1"/>
      <c r="AL448" s="1"/>
      <c r="AT448" s="1"/>
      <c r="AU448" s="1"/>
      <c r="AV448" s="1"/>
      <c r="AX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</row>
    <row r="449" spans="35:87">
      <c r="AI449" s="1"/>
      <c r="AJ449" s="1"/>
      <c r="AK449" s="1"/>
      <c r="AL449" s="1"/>
      <c r="AT449" s="1"/>
      <c r="AU449" s="1"/>
      <c r="AV449" s="1"/>
      <c r="AX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</row>
    <row r="450" spans="35:87">
      <c r="AI450" s="1"/>
      <c r="AJ450" s="1"/>
      <c r="AK450" s="1"/>
      <c r="AL450" s="1"/>
      <c r="AT450" s="1"/>
      <c r="AU450" s="1"/>
      <c r="AV450" s="1"/>
      <c r="AX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</row>
    <row r="451" spans="35:87">
      <c r="AI451" s="1"/>
      <c r="AJ451" s="1"/>
      <c r="AK451" s="1"/>
      <c r="AL451" s="1"/>
      <c r="AT451" s="1"/>
      <c r="AU451" s="1"/>
      <c r="AV451" s="1"/>
      <c r="AX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</row>
    <row r="452" spans="35:87">
      <c r="AI452" s="1"/>
      <c r="AJ452" s="1"/>
      <c r="AK452" s="1"/>
      <c r="AL452" s="1"/>
      <c r="AT452" s="1"/>
      <c r="AU452" s="1"/>
      <c r="AV452" s="1"/>
      <c r="AX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</row>
    <row r="453" spans="35:87">
      <c r="AI453" s="1"/>
      <c r="AJ453" s="1"/>
      <c r="AK453" s="1"/>
      <c r="AL453" s="1"/>
      <c r="AT453" s="1"/>
      <c r="AU453" s="1"/>
      <c r="AV453" s="1"/>
      <c r="AX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</row>
    <row r="454" spans="35:87">
      <c r="AI454" s="1"/>
      <c r="AJ454" s="1"/>
      <c r="AK454" s="1"/>
      <c r="AL454" s="1"/>
      <c r="AT454" s="1"/>
      <c r="AU454" s="1"/>
      <c r="AV454" s="1"/>
      <c r="AX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</row>
    <row r="455" spans="35:87">
      <c r="AI455" s="1"/>
      <c r="AJ455" s="1"/>
      <c r="AK455" s="1"/>
      <c r="AL455" s="1"/>
      <c r="AT455" s="1"/>
      <c r="AU455" s="1"/>
      <c r="AV455" s="1"/>
      <c r="AX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</row>
    <row r="456" spans="35:87">
      <c r="AI456" s="1"/>
      <c r="AJ456" s="1"/>
      <c r="AK456" s="1"/>
      <c r="AL456" s="1"/>
      <c r="AT456" s="1"/>
      <c r="AU456" s="1"/>
      <c r="AV456" s="1"/>
      <c r="AX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</row>
    <row r="457" spans="35:87">
      <c r="AI457" s="1"/>
      <c r="AJ457" s="1"/>
      <c r="AK457" s="1"/>
      <c r="AL457" s="1"/>
      <c r="AT457" s="1"/>
      <c r="AU457" s="1"/>
      <c r="AV457" s="1"/>
      <c r="AX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</row>
    <row r="458" spans="35:87">
      <c r="AI458" s="1"/>
      <c r="AJ458" s="1"/>
      <c r="AK458" s="1"/>
      <c r="AL458" s="1"/>
      <c r="AT458" s="1"/>
      <c r="AU458" s="1"/>
      <c r="AV458" s="1"/>
      <c r="AX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</row>
    <row r="459" spans="35:87">
      <c r="AI459" s="1"/>
      <c r="AJ459" s="1"/>
      <c r="AK459" s="1"/>
      <c r="AL459" s="1"/>
      <c r="AT459" s="1"/>
      <c r="AU459" s="1"/>
      <c r="AV459" s="1"/>
      <c r="AX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</row>
    <row r="460" spans="35:87">
      <c r="AI460" s="1"/>
      <c r="AJ460" s="1"/>
      <c r="AK460" s="1"/>
      <c r="AL460" s="1"/>
      <c r="AT460" s="1"/>
      <c r="AU460" s="1"/>
      <c r="AV460" s="1"/>
      <c r="AX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</row>
    <row r="461" spans="35:87">
      <c r="AI461" s="1"/>
      <c r="AJ461" s="1"/>
      <c r="AK461" s="1"/>
      <c r="AL461" s="1"/>
      <c r="AT461" s="1"/>
      <c r="AU461" s="1"/>
      <c r="AV461" s="1"/>
      <c r="AX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</row>
    <row r="462" spans="35:87">
      <c r="AI462" s="1"/>
      <c r="AJ462" s="1"/>
      <c r="AK462" s="1"/>
      <c r="AL462" s="1"/>
      <c r="AT462" s="1"/>
      <c r="AU462" s="1"/>
      <c r="AV462" s="1"/>
      <c r="AX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</row>
    <row r="463" spans="35:87">
      <c r="AI463" s="1"/>
      <c r="AJ463" s="1"/>
      <c r="AK463" s="1"/>
      <c r="AL463" s="1"/>
      <c r="AT463" s="1"/>
      <c r="AU463" s="1"/>
      <c r="AV463" s="1"/>
      <c r="AX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</row>
    <row r="464" spans="35:87">
      <c r="AI464" s="1"/>
      <c r="AJ464" s="1"/>
      <c r="AK464" s="1"/>
      <c r="AL464" s="1"/>
      <c r="AT464" s="1"/>
      <c r="AU464" s="1"/>
      <c r="AV464" s="1"/>
      <c r="AX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</row>
    <row r="465" spans="35:87">
      <c r="AI465" s="1"/>
      <c r="AJ465" s="1"/>
      <c r="AK465" s="1"/>
      <c r="AL465" s="1"/>
      <c r="AT465" s="1"/>
      <c r="AU465" s="1"/>
      <c r="AV465" s="1"/>
      <c r="AX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</row>
    <row r="466" spans="35:87">
      <c r="AI466" s="1"/>
      <c r="AJ466" s="1"/>
      <c r="AK466" s="1"/>
      <c r="AL466" s="1"/>
      <c r="AT466" s="1"/>
      <c r="AU466" s="1"/>
      <c r="AV466" s="1"/>
      <c r="AX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</row>
    <row r="467" spans="35:87">
      <c r="AI467" s="1"/>
      <c r="AJ467" s="1"/>
      <c r="AK467" s="1"/>
      <c r="AL467" s="1"/>
      <c r="AT467" s="1"/>
      <c r="AU467" s="1"/>
      <c r="AV467" s="1"/>
      <c r="AX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</row>
    <row r="468" spans="35:87">
      <c r="AI468" s="1"/>
      <c r="AJ468" s="1"/>
      <c r="AK468" s="1"/>
      <c r="AL468" s="1"/>
      <c r="AT468" s="1"/>
      <c r="AU468" s="1"/>
      <c r="AV468" s="1"/>
      <c r="AX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</row>
    <row r="469" spans="35:87">
      <c r="AI469" s="1"/>
      <c r="AJ469" s="1"/>
      <c r="AK469" s="1"/>
      <c r="AL469" s="1"/>
      <c r="AT469" s="1"/>
      <c r="AU469" s="1"/>
      <c r="AV469" s="1"/>
      <c r="AX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</row>
    <row r="470" spans="35:87">
      <c r="AI470" s="1"/>
      <c r="AJ470" s="1"/>
      <c r="AK470" s="1"/>
      <c r="AL470" s="1"/>
      <c r="AT470" s="1"/>
      <c r="AU470" s="1"/>
      <c r="AV470" s="1"/>
      <c r="AX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</row>
    <row r="471" spans="35:87">
      <c r="AI471" s="1"/>
      <c r="AJ471" s="1"/>
      <c r="AK471" s="1"/>
      <c r="AL471" s="1"/>
      <c r="AT471" s="1"/>
      <c r="AU471" s="1"/>
      <c r="AV471" s="1"/>
      <c r="AX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</row>
    <row r="472" spans="35:87">
      <c r="AI472" s="1"/>
      <c r="AJ472" s="1"/>
      <c r="AK472" s="1"/>
      <c r="AL472" s="1"/>
      <c r="AT472" s="1"/>
      <c r="AU472" s="1"/>
      <c r="AV472" s="1"/>
      <c r="AX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</row>
    <row r="473" spans="35:87">
      <c r="AI473" s="1"/>
      <c r="AJ473" s="1"/>
      <c r="AK473" s="1"/>
      <c r="AL473" s="1"/>
      <c r="AT473" s="1"/>
      <c r="AU473" s="1"/>
      <c r="AV473" s="1"/>
      <c r="AX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</row>
    <row r="474" spans="35:87">
      <c r="AI474" s="1"/>
      <c r="AJ474" s="1"/>
      <c r="AK474" s="1"/>
      <c r="AL474" s="1"/>
      <c r="AT474" s="1"/>
      <c r="AU474" s="1"/>
      <c r="AV474" s="1"/>
      <c r="AX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</row>
    <row r="475" spans="35:87">
      <c r="AI475" s="1"/>
      <c r="AJ475" s="1"/>
      <c r="AK475" s="1"/>
      <c r="AL475" s="1"/>
      <c r="AT475" s="1"/>
      <c r="AU475" s="1"/>
      <c r="AV475" s="1"/>
      <c r="AX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</row>
    <row r="476" spans="35:87">
      <c r="AI476" s="1"/>
      <c r="AJ476" s="1"/>
      <c r="AK476" s="1"/>
      <c r="AL476" s="1"/>
      <c r="AT476" s="1"/>
      <c r="AU476" s="1"/>
      <c r="AV476" s="1"/>
      <c r="AX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</row>
    <row r="477" spans="35:87">
      <c r="AI477" s="1"/>
      <c r="AJ477" s="1"/>
      <c r="AK477" s="1"/>
      <c r="AL477" s="1"/>
      <c r="AT477" s="1"/>
      <c r="AU477" s="1"/>
      <c r="AV477" s="1"/>
      <c r="AX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</row>
    <row r="478" spans="35:87">
      <c r="AI478" s="1"/>
      <c r="AJ478" s="1"/>
      <c r="AK478" s="1"/>
      <c r="AL478" s="1"/>
      <c r="AT478" s="1"/>
      <c r="AU478" s="1"/>
      <c r="AV478" s="1"/>
      <c r="AX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</row>
    <row r="479" spans="35:87">
      <c r="AI479" s="1"/>
      <c r="AJ479" s="1"/>
      <c r="AK479" s="1"/>
      <c r="AL479" s="1"/>
      <c r="AT479" s="1"/>
      <c r="AU479" s="1"/>
      <c r="AV479" s="1"/>
      <c r="AX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</row>
    <row r="480" spans="35:87">
      <c r="AI480" s="1"/>
      <c r="AJ480" s="1"/>
      <c r="AK480" s="1"/>
      <c r="AL480" s="1"/>
      <c r="AT480" s="1"/>
      <c r="AU480" s="1"/>
      <c r="AV480" s="1"/>
      <c r="AX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</row>
    <row r="481" spans="35:87">
      <c r="AI481" s="1"/>
      <c r="AJ481" s="1"/>
      <c r="AK481" s="1"/>
      <c r="AL481" s="1"/>
      <c r="AT481" s="1"/>
      <c r="AU481" s="1"/>
      <c r="AV481" s="1"/>
      <c r="AX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</row>
    <row r="482" spans="35:87">
      <c r="AI482" s="1"/>
      <c r="AJ482" s="1"/>
      <c r="AK482" s="1"/>
      <c r="AL482" s="1"/>
      <c r="AT482" s="1"/>
      <c r="AU482" s="1"/>
      <c r="AV482" s="1"/>
      <c r="AX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</row>
    <row r="483" spans="35:87">
      <c r="AI483" s="1"/>
      <c r="AJ483" s="1"/>
      <c r="AK483" s="1"/>
      <c r="AL483" s="1"/>
      <c r="AT483" s="1"/>
      <c r="AU483" s="1"/>
      <c r="AV483" s="1"/>
      <c r="AX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</row>
    <row r="484" spans="35:87">
      <c r="AI484" s="1"/>
      <c r="AJ484" s="1"/>
      <c r="AK484" s="1"/>
      <c r="AL484" s="1"/>
      <c r="AT484" s="1"/>
      <c r="AU484" s="1"/>
      <c r="AV484" s="1"/>
      <c r="AX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</row>
    <row r="485" spans="35:87">
      <c r="AI485" s="1"/>
      <c r="AJ485" s="1"/>
      <c r="AK485" s="1"/>
      <c r="AL485" s="1"/>
      <c r="AT485" s="1"/>
      <c r="AU485" s="1"/>
      <c r="AV485" s="1"/>
      <c r="AX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</row>
    <row r="486" spans="35:87">
      <c r="AI486" s="1"/>
      <c r="AJ486" s="1"/>
      <c r="AK486" s="1"/>
      <c r="AL486" s="1"/>
      <c r="AT486" s="1"/>
      <c r="AU486" s="1"/>
      <c r="AV486" s="1"/>
      <c r="AX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</row>
    <row r="487" spans="35:87">
      <c r="AI487" s="1"/>
      <c r="AJ487" s="1"/>
      <c r="AK487" s="1"/>
      <c r="AL487" s="1"/>
      <c r="AT487" s="1"/>
      <c r="AU487" s="1"/>
      <c r="AV487" s="1"/>
      <c r="AX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</row>
    <row r="488" spans="35:87">
      <c r="AI488" s="1"/>
      <c r="AJ488" s="1"/>
      <c r="AK488" s="1"/>
      <c r="AL488" s="1"/>
      <c r="AT488" s="1"/>
      <c r="AU488" s="1"/>
      <c r="AV488" s="1"/>
      <c r="AX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</row>
    <row r="489" spans="35:87">
      <c r="AI489" s="1"/>
      <c r="AJ489" s="1"/>
      <c r="AK489" s="1"/>
      <c r="AL489" s="1"/>
      <c r="AT489" s="1"/>
      <c r="AU489" s="1"/>
      <c r="AV489" s="1"/>
      <c r="AX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</row>
    <row r="490" spans="35:87">
      <c r="AI490" s="1"/>
      <c r="AJ490" s="1"/>
      <c r="AK490" s="1"/>
      <c r="AL490" s="1"/>
      <c r="AT490" s="1"/>
      <c r="AU490" s="1"/>
      <c r="AV490" s="1"/>
      <c r="AX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</row>
    <row r="491" spans="35:87">
      <c r="AI491" s="1"/>
      <c r="AJ491" s="1"/>
      <c r="AK491" s="1"/>
      <c r="AL491" s="1"/>
      <c r="AT491" s="1"/>
      <c r="AU491" s="1"/>
      <c r="AV491" s="1"/>
      <c r="AX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</row>
    <row r="492" spans="35:87">
      <c r="AI492" s="1"/>
      <c r="AJ492" s="1"/>
      <c r="AK492" s="1"/>
      <c r="AL492" s="1"/>
      <c r="AT492" s="1"/>
      <c r="AU492" s="1"/>
      <c r="AV492" s="1"/>
      <c r="AX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</row>
    <row r="493" spans="35:87">
      <c r="AI493" s="1"/>
      <c r="AJ493" s="1"/>
      <c r="AK493" s="1"/>
      <c r="AL493" s="1"/>
      <c r="AT493" s="1"/>
      <c r="AU493" s="1"/>
      <c r="AV493" s="1"/>
      <c r="AX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</row>
    <row r="494" spans="35:87">
      <c r="AI494" s="1"/>
      <c r="AJ494" s="1"/>
      <c r="AK494" s="1"/>
      <c r="AL494" s="1"/>
      <c r="AT494" s="1"/>
      <c r="AU494" s="1"/>
      <c r="AV494" s="1"/>
      <c r="AX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</row>
    <row r="495" spans="35:87">
      <c r="AI495" s="1"/>
      <c r="AJ495" s="1"/>
      <c r="AK495" s="1"/>
      <c r="AL495" s="1"/>
      <c r="AT495" s="1"/>
      <c r="AU495" s="1"/>
      <c r="AV495" s="1"/>
      <c r="AX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</row>
    <row r="496" spans="35:87">
      <c r="AI496" s="1"/>
      <c r="AJ496" s="1"/>
      <c r="AK496" s="1"/>
      <c r="AL496" s="1"/>
      <c r="AT496" s="1"/>
      <c r="AU496" s="1"/>
      <c r="AV496" s="1"/>
      <c r="AX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</row>
    <row r="497" spans="35:87">
      <c r="AI497" s="1"/>
      <c r="AJ497" s="1"/>
      <c r="AK497" s="1"/>
      <c r="AL497" s="1"/>
      <c r="AT497" s="1"/>
      <c r="AU497" s="1"/>
      <c r="AV497" s="1"/>
      <c r="AX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</row>
    <row r="498" spans="35:87">
      <c r="AI498" s="1"/>
      <c r="AJ498" s="1"/>
      <c r="AK498" s="1"/>
      <c r="AL498" s="1"/>
      <c r="AT498" s="1"/>
      <c r="AU498" s="1"/>
      <c r="AV498" s="1"/>
      <c r="AX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</row>
    <row r="499" spans="35:87">
      <c r="AI499" s="1"/>
      <c r="AJ499" s="1"/>
      <c r="AK499" s="1"/>
      <c r="AL499" s="1"/>
      <c r="AT499" s="1"/>
      <c r="AU499" s="1"/>
      <c r="AV499" s="1"/>
      <c r="AX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</row>
    <row r="500" spans="35:87">
      <c r="AI500" s="1"/>
      <c r="AJ500" s="1"/>
      <c r="AK500" s="1"/>
      <c r="AL500" s="1"/>
      <c r="AT500" s="1"/>
      <c r="AU500" s="1"/>
      <c r="AV500" s="1"/>
      <c r="AX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</row>
    <row r="501" spans="35:87">
      <c r="AI501" s="1"/>
      <c r="AJ501" s="1"/>
      <c r="AK501" s="1"/>
      <c r="AL501" s="1"/>
      <c r="AT501" s="1"/>
      <c r="AU501" s="1"/>
      <c r="AV501" s="1"/>
      <c r="AX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</row>
    <row r="502" spans="35:87">
      <c r="AI502" s="1"/>
      <c r="AJ502" s="1"/>
      <c r="AK502" s="1"/>
      <c r="AL502" s="1"/>
      <c r="AT502" s="1"/>
      <c r="AU502" s="1"/>
      <c r="AV502" s="1"/>
      <c r="AX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</row>
    <row r="503" spans="35:87">
      <c r="AI503" s="1"/>
      <c r="AJ503" s="1"/>
      <c r="AK503" s="1"/>
      <c r="AL503" s="1"/>
      <c r="AT503" s="1"/>
      <c r="AU503" s="1"/>
      <c r="AV503" s="1"/>
      <c r="AX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</row>
    <row r="504" spans="35:87">
      <c r="AI504" s="1"/>
      <c r="AJ504" s="1"/>
      <c r="AK504" s="1"/>
      <c r="AL504" s="1"/>
      <c r="AT504" s="1"/>
      <c r="AU504" s="1"/>
      <c r="AV504" s="1"/>
      <c r="AX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</row>
    <row r="505" spans="35:87">
      <c r="AI505" s="1"/>
      <c r="AJ505" s="1"/>
      <c r="AK505" s="1"/>
      <c r="AL505" s="1"/>
      <c r="AT505" s="1"/>
      <c r="AU505" s="1"/>
      <c r="AV505" s="1"/>
      <c r="AX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</row>
    <row r="506" spans="35:87">
      <c r="AI506" s="1"/>
      <c r="AJ506" s="1"/>
      <c r="AK506" s="1"/>
      <c r="AL506" s="1"/>
      <c r="AT506" s="1"/>
      <c r="AU506" s="1"/>
      <c r="AV506" s="1"/>
      <c r="AX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</row>
    <row r="507" spans="35:87">
      <c r="AI507" s="1"/>
      <c r="AJ507" s="1"/>
      <c r="AK507" s="1"/>
      <c r="AL507" s="1"/>
      <c r="AT507" s="1"/>
      <c r="AU507" s="1"/>
      <c r="AV507" s="1"/>
      <c r="AX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</row>
    <row r="508" spans="35:87">
      <c r="AI508" s="1"/>
      <c r="AJ508" s="1"/>
      <c r="AK508" s="1"/>
      <c r="AL508" s="1"/>
      <c r="AT508" s="1"/>
      <c r="AU508" s="1"/>
      <c r="AV508" s="1"/>
      <c r="AX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</row>
    <row r="509" spans="35:87">
      <c r="AI509" s="1"/>
      <c r="AJ509" s="1"/>
      <c r="AK509" s="1"/>
      <c r="AL509" s="1"/>
      <c r="AT509" s="1"/>
      <c r="AU509" s="1"/>
      <c r="AV509" s="1"/>
      <c r="AX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</row>
    <row r="510" spans="35:87">
      <c r="AI510" s="1"/>
      <c r="AJ510" s="1"/>
      <c r="AK510" s="1"/>
      <c r="AL510" s="1"/>
      <c r="AT510" s="1"/>
      <c r="AU510" s="1"/>
      <c r="AV510" s="1"/>
      <c r="AX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</row>
    <row r="511" spans="35:87">
      <c r="AI511" s="1"/>
      <c r="AJ511" s="1"/>
      <c r="AK511" s="1"/>
      <c r="AL511" s="1"/>
      <c r="AT511" s="1"/>
      <c r="AU511" s="1"/>
      <c r="AV511" s="1"/>
      <c r="AX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</row>
    <row r="512" spans="35:87">
      <c r="AI512" s="1"/>
      <c r="AJ512" s="1"/>
      <c r="AK512" s="1"/>
      <c r="AL512" s="1"/>
      <c r="AT512" s="1"/>
      <c r="AU512" s="1"/>
      <c r="AV512" s="1"/>
      <c r="AX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</row>
    <row r="513" spans="35:87">
      <c r="AI513" s="1"/>
      <c r="AJ513" s="1"/>
      <c r="AK513" s="1"/>
      <c r="AL513" s="1"/>
      <c r="AT513" s="1"/>
      <c r="AU513" s="1"/>
      <c r="AV513" s="1"/>
      <c r="AX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</row>
    <row r="514" spans="35:87">
      <c r="AI514" s="1"/>
      <c r="AJ514" s="1"/>
      <c r="AK514" s="1"/>
      <c r="AL514" s="1"/>
      <c r="AT514" s="1"/>
      <c r="AU514" s="1"/>
      <c r="AV514" s="1"/>
      <c r="AX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</row>
    <row r="515" spans="35:87">
      <c r="AI515" s="1"/>
      <c r="AJ515" s="1"/>
      <c r="AK515" s="1"/>
      <c r="AL515" s="1"/>
      <c r="AT515" s="1"/>
      <c r="AU515" s="1"/>
      <c r="AV515" s="1"/>
      <c r="AX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</row>
    <row r="516" spans="35:87">
      <c r="AI516" s="1"/>
      <c r="AJ516" s="1"/>
      <c r="AK516" s="1"/>
      <c r="AL516" s="1"/>
      <c r="AT516" s="1"/>
      <c r="AU516" s="1"/>
      <c r="AV516" s="1"/>
      <c r="AX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</row>
    <row r="517" spans="35:87">
      <c r="AI517" s="1"/>
      <c r="AJ517" s="1"/>
      <c r="AK517" s="1"/>
      <c r="AL517" s="1"/>
      <c r="AT517" s="1"/>
      <c r="AU517" s="1"/>
      <c r="AV517" s="1"/>
      <c r="AX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</row>
    <row r="518" spans="35:87">
      <c r="AI518" s="1"/>
      <c r="AJ518" s="1"/>
      <c r="AK518" s="1"/>
      <c r="AL518" s="1"/>
      <c r="AT518" s="1"/>
      <c r="AU518" s="1"/>
      <c r="AV518" s="1"/>
      <c r="AX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</row>
    <row r="519" spans="35:87">
      <c r="AI519" s="1"/>
      <c r="AJ519" s="1"/>
      <c r="AK519" s="1"/>
      <c r="AL519" s="1"/>
      <c r="AT519" s="1"/>
      <c r="AU519" s="1"/>
      <c r="AV519" s="1"/>
      <c r="AX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</row>
    <row r="520" spans="35:87">
      <c r="AI520" s="1"/>
      <c r="AJ520" s="1"/>
      <c r="AK520" s="1"/>
      <c r="AL520" s="1"/>
      <c r="AT520" s="1"/>
      <c r="AU520" s="1"/>
      <c r="AV520" s="1"/>
      <c r="AX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</row>
    <row r="521" spans="35:87">
      <c r="AI521" s="1"/>
      <c r="AJ521" s="1"/>
      <c r="AK521" s="1"/>
      <c r="AL521" s="1"/>
      <c r="AT521" s="1"/>
      <c r="AU521" s="1"/>
      <c r="AV521" s="1"/>
      <c r="AX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</row>
    <row r="522" spans="35:87">
      <c r="AI522" s="1"/>
      <c r="AJ522" s="1"/>
      <c r="AK522" s="1"/>
      <c r="AL522" s="1"/>
      <c r="AT522" s="1"/>
      <c r="AU522" s="1"/>
      <c r="AV522" s="1"/>
      <c r="AX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</row>
    <row r="523" spans="35:87">
      <c r="AI523" s="1"/>
      <c r="AJ523" s="1"/>
      <c r="AK523" s="1"/>
      <c r="AL523" s="1"/>
      <c r="AT523" s="1"/>
      <c r="AU523" s="1"/>
      <c r="AV523" s="1"/>
      <c r="AX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</row>
    <row r="524" spans="35:87">
      <c r="AI524" s="1"/>
      <c r="AJ524" s="1"/>
      <c r="AK524" s="1"/>
      <c r="AL524" s="1"/>
      <c r="AT524" s="1"/>
      <c r="AU524" s="1"/>
      <c r="AV524" s="1"/>
      <c r="AX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</row>
    <row r="525" spans="35:87">
      <c r="AI525" s="1"/>
      <c r="AJ525" s="1"/>
      <c r="AK525" s="1"/>
      <c r="AL525" s="1"/>
      <c r="AT525" s="1"/>
      <c r="AU525" s="1"/>
      <c r="AV525" s="1"/>
      <c r="AX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</row>
    <row r="526" spans="35:87">
      <c r="AI526" s="1"/>
      <c r="AJ526" s="1"/>
      <c r="AK526" s="1"/>
      <c r="AL526" s="1"/>
      <c r="AT526" s="1"/>
      <c r="AU526" s="1"/>
      <c r="AV526" s="1"/>
      <c r="AX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</row>
    <row r="527" spans="35:87">
      <c r="AI527" s="1"/>
      <c r="AJ527" s="1"/>
      <c r="AK527" s="1"/>
      <c r="AL527" s="1"/>
      <c r="AT527" s="1"/>
      <c r="AU527" s="1"/>
      <c r="AV527" s="1"/>
      <c r="AX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</row>
    <row r="528" spans="35:87">
      <c r="AI528" s="1"/>
      <c r="AJ528" s="1"/>
      <c r="AK528" s="1"/>
      <c r="AL528" s="1"/>
      <c r="AT528" s="1"/>
      <c r="AU528" s="1"/>
      <c r="AV528" s="1"/>
      <c r="AX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</row>
    <row r="529" spans="35:87">
      <c r="AI529" s="1"/>
      <c r="AJ529" s="1"/>
      <c r="AK529" s="1"/>
      <c r="AL529" s="1"/>
      <c r="AT529" s="1"/>
      <c r="AU529" s="1"/>
      <c r="AV529" s="1"/>
      <c r="AX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</row>
    <row r="530" spans="35:87">
      <c r="AI530" s="1"/>
      <c r="AJ530" s="1"/>
      <c r="AK530" s="1"/>
      <c r="AL530" s="1"/>
      <c r="AT530" s="1"/>
      <c r="AU530" s="1"/>
      <c r="AV530" s="1"/>
      <c r="AX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</row>
    <row r="531" spans="35:87">
      <c r="AI531" s="1"/>
      <c r="AJ531" s="1"/>
      <c r="AK531" s="1"/>
      <c r="AL531" s="1"/>
      <c r="AT531" s="1"/>
      <c r="AU531" s="1"/>
      <c r="AV531" s="1"/>
      <c r="AX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</row>
    <row r="532" spans="35:87">
      <c r="AI532" s="1"/>
      <c r="AJ532" s="1"/>
      <c r="AK532" s="1"/>
      <c r="AL532" s="1"/>
      <c r="AT532" s="1"/>
      <c r="AU532" s="1"/>
      <c r="AV532" s="1"/>
      <c r="AX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</row>
    <row r="533" spans="35:87">
      <c r="AI533" s="1"/>
      <c r="AJ533" s="1"/>
      <c r="AK533" s="1"/>
      <c r="AL533" s="1"/>
      <c r="AT533" s="1"/>
      <c r="AU533" s="1"/>
      <c r="AV533" s="1"/>
      <c r="AX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</row>
    <row r="534" spans="35:87">
      <c r="AI534" s="1"/>
      <c r="AJ534" s="1"/>
      <c r="AK534" s="1"/>
      <c r="AL534" s="1"/>
      <c r="AT534" s="1"/>
      <c r="AU534" s="1"/>
      <c r="AV534" s="1"/>
      <c r="AX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</row>
    <row r="535" spans="35:87">
      <c r="AI535" s="1"/>
      <c r="AJ535" s="1"/>
      <c r="AK535" s="1"/>
      <c r="AL535" s="1"/>
      <c r="AT535" s="1"/>
      <c r="AU535" s="1"/>
      <c r="AV535" s="1"/>
      <c r="AX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</row>
    <row r="536" spans="35:87">
      <c r="AI536" s="1"/>
      <c r="AJ536" s="1"/>
      <c r="AK536" s="1"/>
      <c r="AL536" s="1"/>
      <c r="AT536" s="1"/>
      <c r="AU536" s="1"/>
      <c r="AV536" s="1"/>
      <c r="AX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</row>
    <row r="537" spans="35:87">
      <c r="AI537" s="1"/>
      <c r="AJ537" s="1"/>
      <c r="AK537" s="1"/>
      <c r="AL537" s="1"/>
      <c r="AT537" s="1"/>
      <c r="AU537" s="1"/>
      <c r="AV537" s="1"/>
      <c r="AX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</row>
    <row r="538" spans="35:87">
      <c r="AI538" s="1"/>
      <c r="AJ538" s="1"/>
      <c r="AK538" s="1"/>
      <c r="AL538" s="1"/>
      <c r="AT538" s="1"/>
      <c r="AU538" s="1"/>
      <c r="AV538" s="1"/>
      <c r="AX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</row>
    <row r="539" spans="35:87">
      <c r="AI539" s="1"/>
      <c r="AJ539" s="1"/>
      <c r="AK539" s="1"/>
      <c r="AL539" s="1"/>
      <c r="AT539" s="1"/>
      <c r="AU539" s="1"/>
      <c r="AV539" s="1"/>
      <c r="AX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</row>
    <row r="540" spans="35:87">
      <c r="AI540" s="1"/>
      <c r="AJ540" s="1"/>
      <c r="AK540" s="1"/>
      <c r="AL540" s="1"/>
      <c r="AT540" s="1"/>
      <c r="AU540" s="1"/>
      <c r="AV540" s="1"/>
      <c r="AX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</row>
    <row r="541" spans="35:87">
      <c r="AI541" s="1"/>
      <c r="AJ541" s="1"/>
      <c r="AK541" s="1"/>
      <c r="AL541" s="1"/>
      <c r="AT541" s="1"/>
      <c r="AU541" s="1"/>
      <c r="AV541" s="1"/>
      <c r="AX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</row>
    <row r="542" spans="35:87">
      <c r="AI542" s="1"/>
      <c r="AJ542" s="1"/>
      <c r="AK542" s="1"/>
      <c r="AL542" s="1"/>
      <c r="AT542" s="1"/>
      <c r="AU542" s="1"/>
      <c r="AV542" s="1"/>
      <c r="AX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</row>
    <row r="543" spans="35:87">
      <c r="AI543" s="1"/>
      <c r="AJ543" s="1"/>
      <c r="AK543" s="1"/>
      <c r="AL543" s="1"/>
      <c r="AT543" s="1"/>
      <c r="AU543" s="1"/>
      <c r="AV543" s="1"/>
      <c r="AX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</row>
    <row r="544" spans="35:87">
      <c r="AI544" s="1"/>
      <c r="AJ544" s="1"/>
      <c r="AK544" s="1"/>
      <c r="AL544" s="1"/>
      <c r="AT544" s="1"/>
      <c r="AU544" s="1"/>
      <c r="AV544" s="1"/>
      <c r="AX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</row>
    <row r="545" spans="35:87">
      <c r="AI545" s="1"/>
      <c r="AJ545" s="1"/>
      <c r="AK545" s="1"/>
      <c r="AL545" s="1"/>
      <c r="AT545" s="1"/>
      <c r="AU545" s="1"/>
      <c r="AV545" s="1"/>
      <c r="AX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</row>
    <row r="546" spans="35:87">
      <c r="AI546" s="1"/>
      <c r="AJ546" s="1"/>
      <c r="AK546" s="1"/>
      <c r="AL546" s="1"/>
      <c r="AT546" s="1"/>
      <c r="AU546" s="1"/>
      <c r="AV546" s="1"/>
      <c r="AX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</row>
    <row r="547" spans="35:87">
      <c r="AI547" s="1"/>
      <c r="AJ547" s="1"/>
      <c r="AK547" s="1"/>
      <c r="AL547" s="1"/>
      <c r="AT547" s="1"/>
      <c r="AU547" s="1"/>
      <c r="AV547" s="1"/>
      <c r="AX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</row>
    <row r="548" spans="35:87">
      <c r="AI548" s="1"/>
      <c r="AJ548" s="1"/>
      <c r="AK548" s="1"/>
      <c r="AL548" s="1"/>
      <c r="AT548" s="1"/>
      <c r="AU548" s="1"/>
      <c r="AV548" s="1"/>
      <c r="AX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</row>
    <row r="549" spans="35:87">
      <c r="AI549" s="1"/>
      <c r="AJ549" s="1"/>
      <c r="AK549" s="1"/>
      <c r="AL549" s="1"/>
      <c r="AT549" s="1"/>
      <c r="AU549" s="1"/>
      <c r="AV549" s="1"/>
      <c r="AX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</row>
    <row r="550" spans="35:87">
      <c r="AI550" s="1"/>
      <c r="AJ550" s="1"/>
      <c r="AK550" s="1"/>
      <c r="AL550" s="1"/>
      <c r="AT550" s="1"/>
      <c r="AU550" s="1"/>
      <c r="AV550" s="1"/>
      <c r="AX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</row>
    <row r="551" spans="35:87">
      <c r="AI551" s="1"/>
      <c r="AJ551" s="1"/>
      <c r="AK551" s="1"/>
      <c r="AL551" s="1"/>
      <c r="AT551" s="1"/>
      <c r="AU551" s="1"/>
      <c r="AV551" s="1"/>
      <c r="AX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</row>
    <row r="552" spans="35:87">
      <c r="AI552" s="1"/>
      <c r="AJ552" s="1"/>
      <c r="AK552" s="1"/>
      <c r="AL552" s="1"/>
      <c r="AT552" s="1"/>
      <c r="AU552" s="1"/>
      <c r="AV552" s="1"/>
      <c r="AX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</row>
    <row r="553" spans="35:87">
      <c r="AI553" s="1"/>
      <c r="AJ553" s="1"/>
      <c r="AK553" s="1"/>
      <c r="AL553" s="1"/>
      <c r="AT553" s="1"/>
      <c r="AU553" s="1"/>
      <c r="AV553" s="1"/>
      <c r="AX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</row>
    <row r="554" spans="35:87">
      <c r="AI554" s="1"/>
      <c r="AJ554" s="1"/>
      <c r="AK554" s="1"/>
      <c r="AL554" s="1"/>
      <c r="AT554" s="1"/>
      <c r="AU554" s="1"/>
      <c r="AV554" s="1"/>
      <c r="AX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</row>
    <row r="555" spans="35:87">
      <c r="AI555" s="1"/>
      <c r="AJ555" s="1"/>
      <c r="AK555" s="1"/>
      <c r="AL555" s="1"/>
      <c r="AT555" s="1"/>
      <c r="AU555" s="1"/>
      <c r="AV555" s="1"/>
      <c r="AX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</row>
    <row r="556" spans="35:87">
      <c r="AI556" s="1"/>
      <c r="AJ556" s="1"/>
      <c r="AK556" s="1"/>
      <c r="AL556" s="1"/>
      <c r="AT556" s="1"/>
      <c r="AU556" s="1"/>
      <c r="AV556" s="1"/>
      <c r="AX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</row>
    <row r="557" spans="35:87">
      <c r="AI557" s="1"/>
      <c r="AJ557" s="1"/>
      <c r="AK557" s="1"/>
      <c r="AL557" s="1"/>
      <c r="AT557" s="1"/>
      <c r="AU557" s="1"/>
      <c r="AV557" s="1"/>
      <c r="AX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</row>
    <row r="558" spans="35:87">
      <c r="AI558" s="1"/>
      <c r="AJ558" s="1"/>
      <c r="AK558" s="1"/>
      <c r="AL558" s="1"/>
      <c r="AT558" s="1"/>
      <c r="AU558" s="1"/>
      <c r="AV558" s="1"/>
      <c r="AX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</row>
    <row r="559" spans="35:87">
      <c r="AI559" s="1"/>
      <c r="AJ559" s="1"/>
      <c r="AK559" s="1"/>
      <c r="AL559" s="1"/>
      <c r="AT559" s="1"/>
      <c r="AU559" s="1"/>
      <c r="AV559" s="1"/>
      <c r="AX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</row>
    <row r="560" spans="35:87">
      <c r="AI560" s="1"/>
      <c r="AJ560" s="1"/>
      <c r="AK560" s="1"/>
      <c r="AL560" s="1"/>
      <c r="AT560" s="1"/>
      <c r="AU560" s="1"/>
      <c r="AV560" s="1"/>
      <c r="AX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</row>
    <row r="561" spans="35:87">
      <c r="AI561" s="1"/>
      <c r="AJ561" s="1"/>
      <c r="AK561" s="1"/>
      <c r="AL561" s="1"/>
      <c r="AT561" s="1"/>
      <c r="AU561" s="1"/>
      <c r="AV561" s="1"/>
      <c r="AX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</row>
    <row r="562" spans="35:87">
      <c r="AI562" s="1"/>
      <c r="AJ562" s="1"/>
      <c r="AK562" s="1"/>
      <c r="AL562" s="1"/>
      <c r="AT562" s="1"/>
      <c r="AU562" s="1"/>
      <c r="AV562" s="1"/>
      <c r="AX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</row>
    <row r="563" spans="35:87">
      <c r="AI563" s="1"/>
      <c r="AJ563" s="1"/>
      <c r="AK563" s="1"/>
      <c r="AL563" s="1"/>
      <c r="AT563" s="1"/>
      <c r="AU563" s="1"/>
      <c r="AV563" s="1"/>
      <c r="AX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</row>
    <row r="564" spans="35:87">
      <c r="AI564" s="1"/>
      <c r="AJ564" s="1"/>
      <c r="AK564" s="1"/>
      <c r="AL564" s="1"/>
      <c r="AT564" s="1"/>
      <c r="AU564" s="1"/>
      <c r="AV564" s="1"/>
      <c r="AX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</row>
    <row r="565" spans="35:87">
      <c r="AI565" s="1"/>
      <c r="AJ565" s="1"/>
      <c r="AK565" s="1"/>
      <c r="AL565" s="1"/>
      <c r="AT565" s="1"/>
      <c r="AU565" s="1"/>
      <c r="AV565" s="1"/>
      <c r="AX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</row>
    <row r="566" spans="35:87">
      <c r="AI566" s="1"/>
      <c r="AJ566" s="1"/>
      <c r="AK566" s="1"/>
      <c r="AL566" s="1"/>
      <c r="AT566" s="1"/>
      <c r="AU566" s="1"/>
      <c r="AV566" s="1"/>
      <c r="AX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</row>
    <row r="567" spans="35:87">
      <c r="AI567" s="1"/>
      <c r="AJ567" s="1"/>
      <c r="AK567" s="1"/>
      <c r="AL567" s="1"/>
      <c r="AT567" s="1"/>
      <c r="AU567" s="1"/>
      <c r="AV567" s="1"/>
      <c r="AX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</row>
    <row r="568" spans="35:87">
      <c r="AI568" s="1"/>
      <c r="AJ568" s="1"/>
      <c r="AK568" s="1"/>
      <c r="AL568" s="1"/>
      <c r="AT568" s="1"/>
      <c r="AU568" s="1"/>
      <c r="AV568" s="1"/>
      <c r="AX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</row>
    <row r="569" spans="35:87">
      <c r="AI569" s="1"/>
      <c r="AJ569" s="1"/>
      <c r="AK569" s="1"/>
      <c r="AL569" s="1"/>
      <c r="AT569" s="1"/>
      <c r="AU569" s="1"/>
      <c r="AV569" s="1"/>
      <c r="AX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</row>
    <row r="570" spans="35:87">
      <c r="AI570" s="1"/>
      <c r="AJ570" s="1"/>
      <c r="AK570" s="1"/>
      <c r="AL570" s="1"/>
      <c r="AT570" s="1"/>
      <c r="AU570" s="1"/>
      <c r="AV570" s="1"/>
      <c r="AX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</row>
    <row r="571" spans="35:87">
      <c r="AI571" s="1"/>
      <c r="AJ571" s="1"/>
      <c r="AK571" s="1"/>
      <c r="AL571" s="1"/>
      <c r="AT571" s="1"/>
      <c r="AU571" s="1"/>
      <c r="AV571" s="1"/>
      <c r="AX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</row>
    <row r="572" spans="35:87">
      <c r="AI572" s="1"/>
      <c r="AJ572" s="1"/>
      <c r="AK572" s="1"/>
      <c r="AL572" s="1"/>
      <c r="AT572" s="1"/>
      <c r="AU572" s="1"/>
      <c r="AV572" s="1"/>
      <c r="AX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</row>
    <row r="573" spans="35:87">
      <c r="AI573" s="1"/>
      <c r="AJ573" s="1"/>
      <c r="AK573" s="1"/>
      <c r="AL573" s="1"/>
      <c r="AT573" s="1"/>
      <c r="AU573" s="1"/>
      <c r="AV573" s="1"/>
      <c r="AX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</row>
    <row r="574" spans="35:87">
      <c r="AI574" s="1"/>
      <c r="AJ574" s="1"/>
      <c r="AK574" s="1"/>
      <c r="AL574" s="1"/>
      <c r="AT574" s="1"/>
      <c r="AU574" s="1"/>
      <c r="AV574" s="1"/>
      <c r="AX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</row>
    <row r="575" spans="35:87">
      <c r="AI575" s="1"/>
      <c r="AJ575" s="1"/>
      <c r="AK575" s="1"/>
      <c r="AL575" s="1"/>
      <c r="AT575" s="1"/>
      <c r="AU575" s="1"/>
      <c r="AV575" s="1"/>
      <c r="AX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</row>
    <row r="576" spans="35:87">
      <c r="AI576" s="1"/>
      <c r="AJ576" s="1"/>
      <c r="AK576" s="1"/>
      <c r="AL576" s="1"/>
      <c r="AT576" s="1"/>
      <c r="AU576" s="1"/>
      <c r="AV576" s="1"/>
      <c r="AX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</row>
    <row r="577" spans="35:87">
      <c r="AI577" s="1"/>
      <c r="AJ577" s="1"/>
      <c r="AK577" s="1"/>
      <c r="AL577" s="1"/>
      <c r="AT577" s="1"/>
      <c r="AU577" s="1"/>
      <c r="AV577" s="1"/>
      <c r="AX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</row>
    <row r="578" spans="35:87">
      <c r="AI578" s="1"/>
      <c r="AJ578" s="1"/>
      <c r="AK578" s="1"/>
      <c r="AL578" s="1"/>
      <c r="AT578" s="1"/>
      <c r="AU578" s="1"/>
      <c r="AV578" s="1"/>
      <c r="AX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</row>
    <row r="579" spans="35:87">
      <c r="AI579" s="1"/>
      <c r="AJ579" s="1"/>
      <c r="AK579" s="1"/>
      <c r="AL579" s="1"/>
      <c r="AT579" s="1"/>
      <c r="AU579" s="1"/>
      <c r="AV579" s="1"/>
      <c r="AX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</row>
    <row r="580" spans="35:87">
      <c r="AI580" s="1"/>
      <c r="AJ580" s="1"/>
      <c r="AK580" s="1"/>
      <c r="AL580" s="1"/>
      <c r="AT580" s="1"/>
      <c r="AU580" s="1"/>
      <c r="AV580" s="1"/>
      <c r="AX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</row>
    <row r="581" spans="35:87">
      <c r="AI581" s="1"/>
      <c r="AJ581" s="1"/>
      <c r="AK581" s="1"/>
      <c r="AL581" s="1"/>
      <c r="AT581" s="1"/>
      <c r="AU581" s="1"/>
      <c r="AV581" s="1"/>
      <c r="AX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</row>
    <row r="582" spans="35:87">
      <c r="AI582" s="1"/>
      <c r="AJ582" s="1"/>
      <c r="AK582" s="1"/>
      <c r="AL582" s="1"/>
      <c r="AT582" s="1"/>
      <c r="AU582" s="1"/>
      <c r="AV582" s="1"/>
      <c r="AX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</row>
    <row r="583" spans="35:87">
      <c r="AI583" s="1"/>
      <c r="AJ583" s="1"/>
      <c r="AK583" s="1"/>
      <c r="AL583" s="1"/>
      <c r="AT583" s="1"/>
      <c r="AU583" s="1"/>
      <c r="AV583" s="1"/>
      <c r="AX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</row>
    <row r="584" spans="35:87">
      <c r="AI584" s="1"/>
      <c r="AJ584" s="1"/>
      <c r="AK584" s="1"/>
      <c r="AL584" s="1"/>
      <c r="AT584" s="1"/>
      <c r="AU584" s="1"/>
      <c r="AV584" s="1"/>
      <c r="AX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</row>
    <row r="585" spans="35:87">
      <c r="AI585" s="1"/>
      <c r="AJ585" s="1"/>
      <c r="AK585" s="1"/>
      <c r="AL585" s="1"/>
      <c r="AT585" s="1"/>
      <c r="AU585" s="1"/>
      <c r="AV585" s="1"/>
      <c r="AX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</row>
    <row r="586" spans="35:87">
      <c r="AI586" s="1"/>
      <c r="AJ586" s="1"/>
      <c r="AK586" s="1"/>
      <c r="AL586" s="1"/>
      <c r="AT586" s="1"/>
      <c r="AU586" s="1"/>
      <c r="AV586" s="1"/>
      <c r="AX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</row>
    <row r="587" spans="35:87">
      <c r="AI587" s="1"/>
      <c r="AJ587" s="1"/>
      <c r="AK587" s="1"/>
      <c r="AL587" s="1"/>
      <c r="AT587" s="1"/>
      <c r="AU587" s="1"/>
      <c r="AV587" s="1"/>
      <c r="AX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</row>
    <row r="588" spans="35:87">
      <c r="AI588" s="1"/>
      <c r="AJ588" s="1"/>
      <c r="AK588" s="1"/>
      <c r="AL588" s="1"/>
      <c r="AT588" s="1"/>
      <c r="AU588" s="1"/>
      <c r="AV588" s="1"/>
      <c r="AX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</row>
    <row r="589" spans="35:87">
      <c r="AI589" s="1"/>
      <c r="AJ589" s="1"/>
      <c r="AK589" s="1"/>
      <c r="AL589" s="1"/>
      <c r="AT589" s="1"/>
      <c r="AU589" s="1"/>
      <c r="AV589" s="1"/>
      <c r="AX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</row>
    <row r="590" spans="35:87">
      <c r="AI590" s="1"/>
      <c r="AJ590" s="1"/>
      <c r="AK590" s="1"/>
      <c r="AL590" s="1"/>
      <c r="AT590" s="1"/>
      <c r="AU590" s="1"/>
      <c r="AV590" s="1"/>
      <c r="AX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</row>
    <row r="591" spans="35:87">
      <c r="AI591" s="1"/>
      <c r="AJ591" s="1"/>
      <c r="AK591" s="1"/>
      <c r="AL591" s="1"/>
      <c r="AT591" s="1"/>
      <c r="AU591" s="1"/>
      <c r="AV591" s="1"/>
      <c r="AX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</row>
    <row r="592" spans="35:87">
      <c r="AI592" s="1"/>
      <c r="AJ592" s="1"/>
      <c r="AK592" s="1"/>
      <c r="AL592" s="1"/>
      <c r="AT592" s="1"/>
      <c r="AU592" s="1"/>
      <c r="AV592" s="1"/>
      <c r="AX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</row>
    <row r="593" spans="35:87">
      <c r="AI593" s="1"/>
      <c r="AJ593" s="1"/>
      <c r="AK593" s="1"/>
      <c r="AL593" s="1"/>
      <c r="AT593" s="1"/>
      <c r="AU593" s="1"/>
      <c r="AV593" s="1"/>
      <c r="AX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</row>
    <row r="594" spans="35:87">
      <c r="AI594" s="1"/>
      <c r="AJ594" s="1"/>
      <c r="AK594" s="1"/>
      <c r="AL594" s="1"/>
      <c r="AT594" s="1"/>
      <c r="AU594" s="1"/>
      <c r="AV594" s="1"/>
      <c r="AX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</row>
    <row r="595" spans="35:87">
      <c r="AI595" s="1"/>
      <c r="AJ595" s="1"/>
      <c r="AK595" s="1"/>
      <c r="AL595" s="1"/>
      <c r="AT595" s="1"/>
      <c r="AU595" s="1"/>
      <c r="AV595" s="1"/>
      <c r="AX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</row>
    <row r="596" spans="35:87">
      <c r="AI596" s="1"/>
      <c r="AJ596" s="1"/>
      <c r="AK596" s="1"/>
      <c r="AL596" s="1"/>
      <c r="AT596" s="1"/>
      <c r="AU596" s="1"/>
      <c r="AV596" s="1"/>
      <c r="AX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</row>
    <row r="597" spans="35:87">
      <c r="AI597" s="1"/>
      <c r="AJ597" s="1"/>
      <c r="AK597" s="1"/>
      <c r="AL597" s="1"/>
      <c r="AT597" s="1"/>
      <c r="AU597" s="1"/>
      <c r="AV597" s="1"/>
      <c r="AX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</row>
    <row r="598" spans="35:87">
      <c r="AI598" s="1"/>
      <c r="AJ598" s="1"/>
      <c r="AK598" s="1"/>
      <c r="AL598" s="1"/>
      <c r="AT598" s="1"/>
      <c r="AU598" s="1"/>
      <c r="AV598" s="1"/>
      <c r="AX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</row>
    <row r="599" spans="35:87">
      <c r="AI599" s="1"/>
      <c r="AJ599" s="1"/>
      <c r="AK599" s="1"/>
      <c r="AL599" s="1"/>
      <c r="AT599" s="1"/>
      <c r="AU599" s="1"/>
      <c r="AV599" s="1"/>
      <c r="AX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</row>
    <row r="600" spans="35:87">
      <c r="AI600" s="1"/>
      <c r="AJ600" s="1"/>
      <c r="AK600" s="1"/>
      <c r="AL600" s="1"/>
      <c r="AT600" s="1"/>
      <c r="AU600" s="1"/>
      <c r="AV600" s="1"/>
      <c r="AX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</row>
    <row r="601" spans="35:87">
      <c r="AI601" s="1"/>
      <c r="AJ601" s="1"/>
      <c r="AK601" s="1"/>
      <c r="AL601" s="1"/>
      <c r="AT601" s="1"/>
      <c r="AU601" s="1"/>
      <c r="AV601" s="1"/>
      <c r="AX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</row>
    <row r="602" spans="35:87">
      <c r="AI602" s="1"/>
      <c r="AJ602" s="1"/>
      <c r="AK602" s="1"/>
      <c r="AL602" s="1"/>
      <c r="AT602" s="1"/>
      <c r="AU602" s="1"/>
      <c r="AV602" s="1"/>
      <c r="AX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</row>
    <row r="603" spans="35:87">
      <c r="AI603" s="1"/>
      <c r="AJ603" s="1"/>
      <c r="AK603" s="1"/>
      <c r="AL603" s="1"/>
      <c r="AT603" s="1"/>
      <c r="AU603" s="1"/>
      <c r="AV603" s="1"/>
      <c r="AX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</row>
    <row r="604" spans="35:87">
      <c r="AI604" s="1"/>
      <c r="AJ604" s="1"/>
      <c r="AK604" s="1"/>
      <c r="AL604" s="1"/>
      <c r="AT604" s="1"/>
      <c r="AU604" s="1"/>
      <c r="AV604" s="1"/>
      <c r="AX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</row>
    <row r="605" spans="35:87">
      <c r="AI605" s="1"/>
      <c r="AJ605" s="1"/>
      <c r="AK605" s="1"/>
      <c r="AL605" s="1"/>
      <c r="AT605" s="1"/>
      <c r="AU605" s="1"/>
      <c r="AV605" s="1"/>
      <c r="AX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</row>
    <row r="606" spans="35:87">
      <c r="AI606" s="1"/>
      <c r="AJ606" s="1"/>
      <c r="AK606" s="1"/>
      <c r="AL606" s="1"/>
      <c r="AT606" s="1"/>
      <c r="AU606" s="1"/>
      <c r="AV606" s="1"/>
      <c r="AX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</row>
    <row r="607" spans="35:87">
      <c r="AI607" s="1"/>
      <c r="AJ607" s="1"/>
      <c r="AK607" s="1"/>
      <c r="AL607" s="1"/>
      <c r="AT607" s="1"/>
      <c r="AU607" s="1"/>
      <c r="AV607" s="1"/>
      <c r="AX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</row>
    <row r="608" spans="35:87">
      <c r="AI608" s="1"/>
      <c r="AJ608" s="1"/>
      <c r="AK608" s="1"/>
      <c r="AL608" s="1"/>
      <c r="AT608" s="1"/>
      <c r="AU608" s="1"/>
      <c r="AV608" s="1"/>
      <c r="AX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</row>
    <row r="609" spans="35:87">
      <c r="AI609" s="1"/>
      <c r="AJ609" s="1"/>
      <c r="AK609" s="1"/>
      <c r="AL609" s="1"/>
      <c r="AT609" s="1"/>
      <c r="AU609" s="1"/>
      <c r="AV609" s="1"/>
      <c r="AX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</row>
    <row r="610" spans="35:87">
      <c r="AI610" s="1"/>
      <c r="AJ610" s="1"/>
      <c r="AK610" s="1"/>
      <c r="AL610" s="1"/>
      <c r="AT610" s="1"/>
      <c r="AU610" s="1"/>
      <c r="AV610" s="1"/>
      <c r="AX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</row>
    <row r="611" spans="35:87">
      <c r="AI611" s="1"/>
      <c r="AJ611" s="1"/>
      <c r="AK611" s="1"/>
      <c r="AL611" s="1"/>
      <c r="AT611" s="1"/>
      <c r="AU611" s="1"/>
      <c r="AV611" s="1"/>
      <c r="AX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</row>
    <row r="612" spans="35:87">
      <c r="AI612" s="1"/>
      <c r="AJ612" s="1"/>
      <c r="AK612" s="1"/>
      <c r="AL612" s="1"/>
      <c r="AT612" s="1"/>
      <c r="AU612" s="1"/>
      <c r="AV612" s="1"/>
      <c r="AX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</row>
    <row r="613" spans="35:87">
      <c r="AI613" s="1"/>
      <c r="AJ613" s="1"/>
      <c r="AK613" s="1"/>
      <c r="AL613" s="1"/>
      <c r="AT613" s="1"/>
      <c r="AU613" s="1"/>
      <c r="AV613" s="1"/>
      <c r="AX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</row>
    <row r="614" spans="35:87">
      <c r="AI614" s="1"/>
      <c r="AJ614" s="1"/>
      <c r="AK614" s="1"/>
      <c r="AL614" s="1"/>
      <c r="AT614" s="1"/>
      <c r="AU614" s="1"/>
      <c r="AV614" s="1"/>
      <c r="AX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</row>
    <row r="615" spans="35:87">
      <c r="AI615" s="1"/>
      <c r="AJ615" s="1"/>
      <c r="AK615" s="1"/>
      <c r="AL615" s="1"/>
      <c r="AT615" s="1"/>
      <c r="AU615" s="1"/>
      <c r="AV615" s="1"/>
      <c r="AX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</row>
    <row r="616" spans="35:87">
      <c r="AI616" s="1"/>
      <c r="AJ616" s="1"/>
      <c r="AK616" s="1"/>
      <c r="AL616" s="1"/>
      <c r="AT616" s="1"/>
      <c r="AU616" s="1"/>
      <c r="AV616" s="1"/>
      <c r="AX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</row>
    <row r="617" spans="35:87">
      <c r="AI617" s="1"/>
      <c r="AJ617" s="1"/>
      <c r="AK617" s="1"/>
      <c r="AL617" s="1"/>
      <c r="AT617" s="1"/>
      <c r="AU617" s="1"/>
      <c r="AV617" s="1"/>
      <c r="AX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</row>
    <row r="618" spans="35:87">
      <c r="AI618" s="1"/>
      <c r="AJ618" s="1"/>
      <c r="AK618" s="1"/>
      <c r="AL618" s="1"/>
      <c r="AT618" s="1"/>
      <c r="AU618" s="1"/>
      <c r="AV618" s="1"/>
      <c r="AX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</row>
    <row r="619" spans="35:87">
      <c r="AI619" s="1"/>
      <c r="AJ619" s="1"/>
      <c r="AK619" s="1"/>
      <c r="AL619" s="1"/>
      <c r="AT619" s="1"/>
      <c r="AU619" s="1"/>
      <c r="AV619" s="1"/>
      <c r="AX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</row>
    <row r="620" spans="35:87">
      <c r="AI620" s="1"/>
      <c r="AJ620" s="1"/>
      <c r="AK620" s="1"/>
      <c r="AL620" s="1"/>
      <c r="AT620" s="1"/>
      <c r="AU620" s="1"/>
      <c r="AV620" s="1"/>
      <c r="AX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</row>
    <row r="621" spans="35:87">
      <c r="AI621" s="1"/>
      <c r="AJ621" s="1"/>
      <c r="AK621" s="1"/>
      <c r="AL621" s="1"/>
      <c r="AT621" s="1"/>
      <c r="AU621" s="1"/>
      <c r="AV621" s="1"/>
      <c r="AX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</row>
    <row r="622" spans="35:87">
      <c r="AI622" s="1"/>
      <c r="AJ622" s="1"/>
      <c r="AK622" s="1"/>
      <c r="AL622" s="1"/>
      <c r="AT622" s="1"/>
      <c r="AU622" s="1"/>
      <c r="AV622" s="1"/>
      <c r="AX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</row>
    <row r="623" spans="35:87">
      <c r="AI623" s="1"/>
      <c r="AJ623" s="1"/>
      <c r="AK623" s="1"/>
      <c r="AL623" s="1"/>
      <c r="AT623" s="1"/>
      <c r="AU623" s="1"/>
      <c r="AV623" s="1"/>
      <c r="AX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</row>
    <row r="624" spans="35:87">
      <c r="AI624" s="1"/>
      <c r="AJ624" s="1"/>
      <c r="AK624" s="1"/>
      <c r="AL624" s="1"/>
      <c r="AT624" s="1"/>
      <c r="AU624" s="1"/>
      <c r="AV624" s="1"/>
      <c r="AX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</row>
    <row r="625" spans="35:87">
      <c r="AI625" s="1"/>
      <c r="AJ625" s="1"/>
      <c r="AK625" s="1"/>
      <c r="AL625" s="1"/>
      <c r="AT625" s="1"/>
      <c r="AU625" s="1"/>
      <c r="AV625" s="1"/>
      <c r="AX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</row>
    <row r="626" spans="35:87">
      <c r="AI626" s="1"/>
      <c r="AJ626" s="1"/>
      <c r="AK626" s="1"/>
      <c r="AL626" s="1"/>
      <c r="AT626" s="1"/>
      <c r="AU626" s="1"/>
      <c r="AV626" s="1"/>
      <c r="AX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</row>
    <row r="627" spans="35:87">
      <c r="AI627" s="1"/>
      <c r="AJ627" s="1"/>
      <c r="AK627" s="1"/>
      <c r="AL627" s="1"/>
      <c r="AT627" s="1"/>
      <c r="AU627" s="1"/>
      <c r="AV627" s="1"/>
      <c r="AX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</row>
    <row r="628" spans="35:87">
      <c r="AI628" s="1"/>
      <c r="AJ628" s="1"/>
      <c r="AK628" s="1"/>
      <c r="AL628" s="1"/>
      <c r="AT628" s="1"/>
      <c r="AU628" s="1"/>
      <c r="AV628" s="1"/>
      <c r="AX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</row>
    <row r="629" spans="35:87">
      <c r="AI629" s="1"/>
      <c r="AJ629" s="1"/>
      <c r="AK629" s="1"/>
      <c r="AL629" s="1"/>
      <c r="AT629" s="1"/>
      <c r="AU629" s="1"/>
      <c r="AV629" s="1"/>
      <c r="AX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</row>
    <row r="630" spans="35:87">
      <c r="AI630" s="1"/>
      <c r="AJ630" s="1"/>
      <c r="AK630" s="1"/>
      <c r="AL630" s="1"/>
      <c r="AT630" s="1"/>
      <c r="AU630" s="1"/>
      <c r="AV630" s="1"/>
      <c r="AX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</row>
    <row r="631" spans="35:87">
      <c r="AI631" s="1"/>
      <c r="AJ631" s="1"/>
      <c r="AK631" s="1"/>
      <c r="AL631" s="1"/>
      <c r="AT631" s="1"/>
      <c r="AU631" s="1"/>
      <c r="AV631" s="1"/>
      <c r="AX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</row>
    <row r="632" spans="35:87">
      <c r="AI632" s="1"/>
      <c r="AJ632" s="1"/>
      <c r="AK632" s="1"/>
      <c r="AL632" s="1"/>
      <c r="AT632" s="1"/>
      <c r="AU632" s="1"/>
      <c r="AV632" s="1"/>
      <c r="AX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</row>
    <row r="633" spans="35:87">
      <c r="AI633" s="1"/>
      <c r="AJ633" s="1"/>
      <c r="AK633" s="1"/>
      <c r="AL633" s="1"/>
      <c r="AT633" s="1"/>
      <c r="AU633" s="1"/>
      <c r="AV633" s="1"/>
      <c r="AX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</row>
    <row r="634" spans="35:87">
      <c r="AI634" s="1"/>
      <c r="AJ634" s="1"/>
      <c r="AK634" s="1"/>
      <c r="AL634" s="1"/>
      <c r="AT634" s="1"/>
      <c r="AU634" s="1"/>
      <c r="AV634" s="1"/>
      <c r="AX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</row>
    <row r="635" spans="35:87">
      <c r="AI635" s="1"/>
      <c r="AJ635" s="1"/>
      <c r="AK635" s="1"/>
      <c r="AL635" s="1"/>
      <c r="AT635" s="1"/>
      <c r="AU635" s="1"/>
      <c r="AV635" s="1"/>
      <c r="AX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</row>
  </sheetData>
  <mergeCells count="11">
    <mergeCell ref="CK39:CL39"/>
    <mergeCell ref="CK35:CL35"/>
    <mergeCell ref="CK38:CL38"/>
    <mergeCell ref="CK37:CL37"/>
    <mergeCell ref="AT1:BD1"/>
    <mergeCell ref="BE1:BN1"/>
    <mergeCell ref="AL1:AS1"/>
    <mergeCell ref="CJ1:CV1"/>
    <mergeCell ref="DD1:DL1"/>
    <mergeCell ref="CW1:DB1"/>
    <mergeCell ref="BF35:BG37"/>
  </mergeCells>
  <printOptions horizontalCentered="1"/>
  <pageMargins left="0.39370078740157483" right="0.39370078740157483" top="0" bottom="0" header="0.31496062992125984" footer="0.31496062992125984"/>
  <pageSetup scale="2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44"/>
  <sheetViews>
    <sheetView tabSelected="1" zoomScale="85" zoomScaleNormal="85" workbookViewId="0">
      <pane xSplit="1" ySplit="3" topLeftCell="B29" activePane="bottomRight" state="frozen"/>
      <selection pane="topRight" activeCell="B1" sqref="B1"/>
      <selection pane="bottomLeft" activeCell="A3" sqref="A3"/>
      <selection pane="bottomRight" activeCell="P35" sqref="P35:U36"/>
    </sheetView>
  </sheetViews>
  <sheetFormatPr defaultRowHeight="14.4"/>
  <cols>
    <col min="1" max="1" width="16.5546875" bestFit="1" customWidth="1"/>
    <col min="2" max="2" width="12.44140625" customWidth="1"/>
    <col min="3" max="3" width="11" style="293" bestFit="1" customWidth="1"/>
    <col min="4" max="4" width="12.44140625" customWidth="1"/>
    <col min="5" max="5" width="16.88671875" customWidth="1"/>
    <col min="6" max="6" width="13.88671875" customWidth="1"/>
    <col min="7" max="7" width="17.77734375" customWidth="1"/>
    <col min="8" max="8" width="16.33203125" customWidth="1"/>
    <col min="9" max="19" width="13.88671875" customWidth="1"/>
    <col min="20" max="20" width="15.21875" customWidth="1"/>
    <col min="21" max="21" width="17.21875" customWidth="1"/>
  </cols>
  <sheetData>
    <row r="1" spans="1:22" s="246" customFormat="1" ht="31.2" customHeight="1" thickBot="1">
      <c r="A1" s="339" t="s">
        <v>157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1"/>
      <c r="P1" s="340" t="s">
        <v>110</v>
      </c>
      <c r="Q1" s="340"/>
      <c r="R1" s="340"/>
      <c r="S1" s="340"/>
      <c r="T1" s="340"/>
      <c r="U1" s="341"/>
    </row>
    <row r="2" spans="1:22" ht="30" customHeight="1" thickBot="1">
      <c r="A2" s="247"/>
      <c r="B2" s="361" t="s">
        <v>98</v>
      </c>
      <c r="C2" s="362"/>
      <c r="D2" s="362"/>
      <c r="E2" s="363"/>
      <c r="F2" s="342" t="s">
        <v>94</v>
      </c>
      <c r="G2" s="342"/>
      <c r="H2" s="342"/>
      <c r="I2" s="342"/>
      <c r="J2" s="315" t="s">
        <v>155</v>
      </c>
      <c r="K2" s="316"/>
      <c r="L2" s="316"/>
      <c r="M2" s="317"/>
      <c r="N2" s="342" t="s">
        <v>95</v>
      </c>
      <c r="O2" s="342"/>
      <c r="P2" s="347" t="s">
        <v>53</v>
      </c>
      <c r="Q2" s="348"/>
      <c r="R2" s="347" t="s">
        <v>54</v>
      </c>
      <c r="S2" s="348"/>
      <c r="T2" s="345" t="s">
        <v>109</v>
      </c>
      <c r="U2" s="346"/>
    </row>
    <row r="3" spans="1:22" ht="30" customHeight="1" thickBot="1">
      <c r="A3" s="248" t="s">
        <v>25</v>
      </c>
      <c r="B3" s="174" t="s">
        <v>59</v>
      </c>
      <c r="C3" s="113" t="s">
        <v>71</v>
      </c>
      <c r="D3" s="113" t="s">
        <v>65</v>
      </c>
      <c r="E3" s="175" t="s">
        <v>72</v>
      </c>
      <c r="F3" s="298" t="s">
        <v>59</v>
      </c>
      <c r="G3" s="299" t="s">
        <v>71</v>
      </c>
      <c r="H3" s="299" t="s">
        <v>65</v>
      </c>
      <c r="I3" s="300" t="s">
        <v>72</v>
      </c>
      <c r="J3" s="318" t="s">
        <v>59</v>
      </c>
      <c r="K3" s="319" t="s">
        <v>71</v>
      </c>
      <c r="L3" s="319" t="s">
        <v>65</v>
      </c>
      <c r="M3" s="320" t="s">
        <v>72</v>
      </c>
      <c r="N3" s="298" t="s">
        <v>65</v>
      </c>
      <c r="O3" s="300" t="s">
        <v>72</v>
      </c>
      <c r="P3" s="335" t="s">
        <v>59</v>
      </c>
      <c r="Q3" s="336" t="s">
        <v>71</v>
      </c>
      <c r="R3" s="335" t="s">
        <v>65</v>
      </c>
      <c r="S3" s="336" t="s">
        <v>72</v>
      </c>
      <c r="T3" s="249" t="s">
        <v>4</v>
      </c>
      <c r="U3" s="250" t="s">
        <v>31</v>
      </c>
    </row>
    <row r="4" spans="1:22" ht="30" customHeight="1">
      <c r="A4" s="251">
        <v>46174</v>
      </c>
      <c r="B4" s="176"/>
      <c r="C4" s="114"/>
      <c r="D4" s="114"/>
      <c r="E4" s="177"/>
      <c r="F4" s="301"/>
      <c r="G4" s="302"/>
      <c r="H4" s="302"/>
      <c r="I4" s="303"/>
      <c r="J4" s="321"/>
      <c r="K4" s="322"/>
      <c r="L4" s="322"/>
      <c r="M4" s="323"/>
      <c r="N4" s="301"/>
      <c r="O4" s="303"/>
      <c r="P4" s="244">
        <f>+B4+F4+J4</f>
        <v>0</v>
      </c>
      <c r="Q4" s="245">
        <f>+C4+G4+K4</f>
        <v>0</v>
      </c>
      <c r="R4" s="244">
        <f>+D4+H4+N4+L4</f>
        <v>0</v>
      </c>
      <c r="S4" s="245">
        <f>+E4+I4+O4+M4</f>
        <v>0</v>
      </c>
      <c r="T4" s="252">
        <f t="shared" ref="T4:T34" si="0">P4+R4</f>
        <v>0</v>
      </c>
      <c r="U4" s="253">
        <f>+Q4+S4</f>
        <v>0</v>
      </c>
      <c r="V4" s="19"/>
    </row>
    <row r="5" spans="1:22" ht="30" customHeight="1">
      <c r="A5" s="251">
        <f t="shared" ref="A5:A34" si="1">+A4+1</f>
        <v>46175</v>
      </c>
      <c r="B5" s="176">
        <v>68</v>
      </c>
      <c r="C5" s="114">
        <v>2017.26</v>
      </c>
      <c r="D5" s="114"/>
      <c r="E5" s="177"/>
      <c r="F5" s="301"/>
      <c r="G5" s="302"/>
      <c r="H5" s="302"/>
      <c r="I5" s="303"/>
      <c r="J5" s="321"/>
      <c r="K5" s="322"/>
      <c r="L5" s="322"/>
      <c r="M5" s="323"/>
      <c r="N5" s="301"/>
      <c r="O5" s="303"/>
      <c r="P5" s="244">
        <f t="shared" ref="P5:P34" si="2">+B5+F5+J5</f>
        <v>68</v>
      </c>
      <c r="Q5" s="245">
        <f t="shared" ref="Q5:Q34" si="3">+C5+G5+K5</f>
        <v>2017.26</v>
      </c>
      <c r="R5" s="244">
        <f t="shared" ref="R5:R34" si="4">+D5+H5+N5+L5</f>
        <v>0</v>
      </c>
      <c r="S5" s="245">
        <f t="shared" ref="S5:S34" si="5">+E5+I5+O5+M5</f>
        <v>0</v>
      </c>
      <c r="T5" s="252">
        <f t="shared" si="0"/>
        <v>68</v>
      </c>
      <c r="U5" s="254">
        <f t="shared" ref="U5:U34" si="6">+Q5+S5</f>
        <v>2017.26</v>
      </c>
      <c r="V5" s="19"/>
    </row>
    <row r="6" spans="1:22" ht="30" customHeight="1">
      <c r="A6" s="255">
        <f t="shared" si="1"/>
        <v>46176</v>
      </c>
      <c r="B6" s="176"/>
      <c r="C6" s="114"/>
      <c r="D6" s="115">
        <v>41</v>
      </c>
      <c r="E6" s="179">
        <v>1467.01</v>
      </c>
      <c r="F6" s="304"/>
      <c r="G6" s="305"/>
      <c r="H6" s="305"/>
      <c r="I6" s="306"/>
      <c r="J6" s="324"/>
      <c r="K6" s="325"/>
      <c r="L6" s="325"/>
      <c r="M6" s="326"/>
      <c r="N6" s="304">
        <v>41</v>
      </c>
      <c r="O6" s="306">
        <v>1435.37</v>
      </c>
      <c r="P6" s="244">
        <f t="shared" si="2"/>
        <v>0</v>
      </c>
      <c r="Q6" s="245">
        <f t="shared" si="3"/>
        <v>0</v>
      </c>
      <c r="R6" s="244">
        <f t="shared" si="4"/>
        <v>82</v>
      </c>
      <c r="S6" s="245">
        <f t="shared" si="5"/>
        <v>2902.38</v>
      </c>
      <c r="T6" s="252">
        <f t="shared" si="0"/>
        <v>82</v>
      </c>
      <c r="U6" s="254">
        <f t="shared" si="6"/>
        <v>2902.38</v>
      </c>
      <c r="V6" s="19"/>
    </row>
    <row r="7" spans="1:22" ht="30" customHeight="1">
      <c r="A7" s="251">
        <f t="shared" si="1"/>
        <v>46177</v>
      </c>
      <c r="B7" s="178"/>
      <c r="C7" s="115"/>
      <c r="D7" s="115"/>
      <c r="E7" s="179"/>
      <c r="F7" s="304"/>
      <c r="G7" s="305"/>
      <c r="H7" s="305"/>
      <c r="I7" s="306"/>
      <c r="J7" s="324"/>
      <c r="K7" s="325"/>
      <c r="L7" s="325"/>
      <c r="M7" s="326"/>
      <c r="N7" s="304"/>
      <c r="O7" s="306"/>
      <c r="P7" s="244">
        <f t="shared" si="2"/>
        <v>0</v>
      </c>
      <c r="Q7" s="245">
        <f t="shared" si="3"/>
        <v>0</v>
      </c>
      <c r="R7" s="244">
        <f t="shared" si="4"/>
        <v>0</v>
      </c>
      <c r="S7" s="245">
        <f t="shared" si="5"/>
        <v>0</v>
      </c>
      <c r="T7" s="252">
        <f t="shared" si="0"/>
        <v>0</v>
      </c>
      <c r="U7" s="254">
        <f t="shared" si="6"/>
        <v>0</v>
      </c>
      <c r="V7" s="256"/>
    </row>
    <row r="8" spans="1:22" ht="30" customHeight="1">
      <c r="A8" s="255">
        <f t="shared" si="1"/>
        <v>46178</v>
      </c>
      <c r="B8" s="178"/>
      <c r="C8" s="115"/>
      <c r="D8" s="115">
        <v>25</v>
      </c>
      <c r="E8" s="179">
        <f>2367.32-1447.59</f>
        <v>919.73000000000025</v>
      </c>
      <c r="F8" s="304"/>
      <c r="G8" s="305"/>
      <c r="H8" s="305"/>
      <c r="I8" s="306"/>
      <c r="J8" s="324"/>
      <c r="K8" s="325"/>
      <c r="L8" s="325"/>
      <c r="M8" s="326"/>
      <c r="N8" s="304">
        <v>40</v>
      </c>
      <c r="O8" s="306">
        <v>1447.59</v>
      </c>
      <c r="P8" s="244">
        <f t="shared" si="2"/>
        <v>0</v>
      </c>
      <c r="Q8" s="245">
        <f t="shared" si="3"/>
        <v>0</v>
      </c>
      <c r="R8" s="244">
        <f t="shared" si="4"/>
        <v>65</v>
      </c>
      <c r="S8" s="245">
        <f t="shared" si="5"/>
        <v>2367.3200000000002</v>
      </c>
      <c r="T8" s="252">
        <f t="shared" si="0"/>
        <v>65</v>
      </c>
      <c r="U8" s="254">
        <f t="shared" si="6"/>
        <v>2367.3200000000002</v>
      </c>
    </row>
    <row r="9" spans="1:22" ht="30" customHeight="1">
      <c r="A9" s="251">
        <f t="shared" si="1"/>
        <v>46179</v>
      </c>
      <c r="B9" s="178"/>
      <c r="C9" s="115"/>
      <c r="D9" s="115"/>
      <c r="E9" s="179"/>
      <c r="F9" s="304"/>
      <c r="G9" s="305"/>
      <c r="H9" s="305"/>
      <c r="I9" s="306"/>
      <c r="J9" s="324"/>
      <c r="K9" s="325"/>
      <c r="L9" s="325"/>
      <c r="M9" s="326"/>
      <c r="N9" s="304"/>
      <c r="O9" s="306"/>
      <c r="P9" s="244">
        <f t="shared" si="2"/>
        <v>0</v>
      </c>
      <c r="Q9" s="245">
        <f t="shared" si="3"/>
        <v>0</v>
      </c>
      <c r="R9" s="244">
        <f t="shared" si="4"/>
        <v>0</v>
      </c>
      <c r="S9" s="245">
        <f t="shared" si="5"/>
        <v>0</v>
      </c>
      <c r="T9" s="252">
        <f t="shared" si="0"/>
        <v>0</v>
      </c>
      <c r="U9" s="254">
        <f t="shared" si="6"/>
        <v>0</v>
      </c>
    </row>
    <row r="10" spans="1:22" ht="30" customHeight="1">
      <c r="A10" s="255">
        <f t="shared" si="1"/>
        <v>46180</v>
      </c>
      <c r="B10" s="178"/>
      <c r="C10" s="115"/>
      <c r="D10" s="115"/>
      <c r="E10" s="179"/>
      <c r="F10" s="304"/>
      <c r="G10" s="305"/>
      <c r="H10" s="305"/>
      <c r="I10" s="306"/>
      <c r="J10" s="324"/>
      <c r="K10" s="325"/>
      <c r="L10" s="325"/>
      <c r="M10" s="326"/>
      <c r="N10" s="304"/>
      <c r="O10" s="306"/>
      <c r="P10" s="244">
        <f t="shared" si="2"/>
        <v>0</v>
      </c>
      <c r="Q10" s="245">
        <f t="shared" si="3"/>
        <v>0</v>
      </c>
      <c r="R10" s="244">
        <f t="shared" si="4"/>
        <v>0</v>
      </c>
      <c r="S10" s="245">
        <f t="shared" si="5"/>
        <v>0</v>
      </c>
      <c r="T10" s="252">
        <f t="shared" si="0"/>
        <v>0</v>
      </c>
      <c r="U10" s="254">
        <f t="shared" si="6"/>
        <v>0</v>
      </c>
    </row>
    <row r="11" spans="1:22" ht="30" customHeight="1">
      <c r="A11" s="251">
        <f t="shared" si="1"/>
        <v>46181</v>
      </c>
      <c r="B11" s="178"/>
      <c r="C11" s="115"/>
      <c r="D11" s="115"/>
      <c r="E11" s="179"/>
      <c r="F11" s="304"/>
      <c r="G11" s="305"/>
      <c r="H11" s="305"/>
      <c r="I11" s="306"/>
      <c r="J11" s="324"/>
      <c r="K11" s="325"/>
      <c r="L11" s="325"/>
      <c r="M11" s="326"/>
      <c r="N11" s="304"/>
      <c r="O11" s="306"/>
      <c r="P11" s="244">
        <f t="shared" si="2"/>
        <v>0</v>
      </c>
      <c r="Q11" s="245">
        <f t="shared" si="3"/>
        <v>0</v>
      </c>
      <c r="R11" s="244">
        <f t="shared" si="4"/>
        <v>0</v>
      </c>
      <c r="S11" s="245">
        <f t="shared" si="5"/>
        <v>0</v>
      </c>
      <c r="T11" s="252">
        <f t="shared" si="0"/>
        <v>0</v>
      </c>
      <c r="U11" s="254">
        <f t="shared" si="6"/>
        <v>0</v>
      </c>
    </row>
    <row r="12" spans="1:22" ht="30" customHeight="1">
      <c r="A12" s="255">
        <f t="shared" si="1"/>
        <v>46182</v>
      </c>
      <c r="B12" s="178">
        <v>111</v>
      </c>
      <c r="C12" s="115">
        <v>3570.18</v>
      </c>
      <c r="D12" s="115"/>
      <c r="E12" s="179"/>
      <c r="F12" s="304"/>
      <c r="G12" s="305"/>
      <c r="H12" s="305"/>
      <c r="I12" s="306"/>
      <c r="J12" s="324"/>
      <c r="K12" s="325"/>
      <c r="L12" s="325"/>
      <c r="M12" s="326"/>
      <c r="N12" s="304"/>
      <c r="O12" s="306"/>
      <c r="P12" s="244">
        <f t="shared" si="2"/>
        <v>111</v>
      </c>
      <c r="Q12" s="245">
        <f t="shared" si="3"/>
        <v>3570.18</v>
      </c>
      <c r="R12" s="244">
        <f t="shared" si="4"/>
        <v>0</v>
      </c>
      <c r="S12" s="245">
        <f t="shared" si="5"/>
        <v>0</v>
      </c>
      <c r="T12" s="252">
        <f t="shared" si="0"/>
        <v>111</v>
      </c>
      <c r="U12" s="254">
        <f t="shared" si="6"/>
        <v>3570.18</v>
      </c>
    </row>
    <row r="13" spans="1:22" ht="30" customHeight="1">
      <c r="A13" s="251">
        <f t="shared" si="1"/>
        <v>46183</v>
      </c>
      <c r="B13" s="178">
        <v>46</v>
      </c>
      <c r="C13" s="115">
        <v>1431.16</v>
      </c>
      <c r="D13" s="115">
        <v>25</v>
      </c>
      <c r="E13" s="180">
        <v>838.41</v>
      </c>
      <c r="F13" s="307"/>
      <c r="G13" s="308"/>
      <c r="H13" s="308"/>
      <c r="I13" s="309"/>
      <c r="J13" s="327"/>
      <c r="K13" s="328"/>
      <c r="L13" s="328"/>
      <c r="M13" s="329"/>
      <c r="N13" s="307">
        <v>42</v>
      </c>
      <c r="O13" s="309">
        <v>1422.76</v>
      </c>
      <c r="P13" s="244">
        <f t="shared" si="2"/>
        <v>46</v>
      </c>
      <c r="Q13" s="245">
        <f t="shared" si="3"/>
        <v>1431.16</v>
      </c>
      <c r="R13" s="244">
        <f t="shared" si="4"/>
        <v>67</v>
      </c>
      <c r="S13" s="245">
        <f t="shared" si="5"/>
        <v>2261.17</v>
      </c>
      <c r="T13" s="252">
        <f t="shared" si="0"/>
        <v>113</v>
      </c>
      <c r="U13" s="254">
        <f t="shared" si="6"/>
        <v>3692.33</v>
      </c>
    </row>
    <row r="14" spans="1:22" ht="30" customHeight="1">
      <c r="A14" s="255">
        <f t="shared" si="1"/>
        <v>46184</v>
      </c>
      <c r="B14" s="178"/>
      <c r="C14" s="115"/>
      <c r="D14" s="115">
        <v>98</v>
      </c>
      <c r="E14" s="180">
        <v>3277.44</v>
      </c>
      <c r="F14" s="307"/>
      <c r="G14" s="308"/>
      <c r="H14" s="308"/>
      <c r="I14" s="309"/>
      <c r="J14" s="327"/>
      <c r="K14" s="328"/>
      <c r="L14" s="328"/>
      <c r="M14" s="329"/>
      <c r="N14" s="307"/>
      <c r="O14" s="309"/>
      <c r="P14" s="244">
        <f t="shared" si="2"/>
        <v>0</v>
      </c>
      <c r="Q14" s="245">
        <f t="shared" si="3"/>
        <v>0</v>
      </c>
      <c r="R14" s="244">
        <f t="shared" si="4"/>
        <v>98</v>
      </c>
      <c r="S14" s="245">
        <f t="shared" si="5"/>
        <v>3277.44</v>
      </c>
      <c r="T14" s="252">
        <f t="shared" si="0"/>
        <v>98</v>
      </c>
      <c r="U14" s="254">
        <f t="shared" si="6"/>
        <v>3277.44</v>
      </c>
    </row>
    <row r="15" spans="1:22" ht="30" customHeight="1">
      <c r="A15" s="251">
        <f t="shared" si="1"/>
        <v>46185</v>
      </c>
      <c r="B15" s="178">
        <v>67</v>
      </c>
      <c r="C15" s="115">
        <v>2056.64</v>
      </c>
      <c r="D15" s="115">
        <v>59</v>
      </c>
      <c r="E15" s="180">
        <v>2026.25</v>
      </c>
      <c r="F15" s="307"/>
      <c r="G15" s="308"/>
      <c r="H15" s="308"/>
      <c r="I15" s="309"/>
      <c r="J15" s="327"/>
      <c r="K15" s="328"/>
      <c r="L15" s="328"/>
      <c r="M15" s="329"/>
      <c r="N15" s="307"/>
      <c r="O15" s="309"/>
      <c r="P15" s="244">
        <f t="shared" si="2"/>
        <v>67</v>
      </c>
      <c r="Q15" s="245">
        <f t="shared" si="3"/>
        <v>2056.64</v>
      </c>
      <c r="R15" s="244">
        <f t="shared" si="4"/>
        <v>59</v>
      </c>
      <c r="S15" s="245">
        <f t="shared" si="5"/>
        <v>2026.25</v>
      </c>
      <c r="T15" s="252">
        <f t="shared" si="0"/>
        <v>126</v>
      </c>
      <c r="U15" s="254">
        <f t="shared" si="6"/>
        <v>4082.89</v>
      </c>
    </row>
    <row r="16" spans="1:22" ht="30" customHeight="1">
      <c r="A16" s="255">
        <f t="shared" si="1"/>
        <v>46186</v>
      </c>
      <c r="B16" s="178">
        <v>39</v>
      </c>
      <c r="C16" s="115">
        <v>1158.3399999999999</v>
      </c>
      <c r="D16" s="115">
        <v>20</v>
      </c>
      <c r="E16" s="180">
        <v>654.83000000000004</v>
      </c>
      <c r="F16" s="307"/>
      <c r="G16" s="308"/>
      <c r="H16" s="308"/>
      <c r="I16" s="309"/>
      <c r="J16" s="327"/>
      <c r="K16" s="328"/>
      <c r="L16" s="328"/>
      <c r="M16" s="329"/>
      <c r="N16" s="307">
        <v>40</v>
      </c>
      <c r="O16" s="309">
        <v>1379.79</v>
      </c>
      <c r="P16" s="244">
        <f t="shared" si="2"/>
        <v>39</v>
      </c>
      <c r="Q16" s="245">
        <f t="shared" si="3"/>
        <v>1158.3399999999999</v>
      </c>
      <c r="R16" s="244">
        <f t="shared" si="4"/>
        <v>60</v>
      </c>
      <c r="S16" s="245">
        <f t="shared" si="5"/>
        <v>2034.62</v>
      </c>
      <c r="T16" s="252">
        <f t="shared" si="0"/>
        <v>99</v>
      </c>
      <c r="U16" s="254">
        <f t="shared" si="6"/>
        <v>3192.96</v>
      </c>
    </row>
    <row r="17" spans="1:21" ht="30" customHeight="1">
      <c r="A17" s="251">
        <f t="shared" si="1"/>
        <v>46187</v>
      </c>
      <c r="B17" s="178"/>
      <c r="C17" s="115"/>
      <c r="D17" s="115"/>
      <c r="E17" s="180"/>
      <c r="F17" s="307"/>
      <c r="G17" s="308"/>
      <c r="H17" s="308"/>
      <c r="I17" s="309"/>
      <c r="J17" s="327"/>
      <c r="K17" s="328"/>
      <c r="L17" s="328"/>
      <c r="M17" s="329"/>
      <c r="N17" s="307"/>
      <c r="O17" s="309"/>
      <c r="P17" s="244">
        <f t="shared" si="2"/>
        <v>0</v>
      </c>
      <c r="Q17" s="245">
        <f t="shared" si="3"/>
        <v>0</v>
      </c>
      <c r="R17" s="244">
        <f t="shared" si="4"/>
        <v>0</v>
      </c>
      <c r="S17" s="245">
        <f t="shared" si="5"/>
        <v>0</v>
      </c>
      <c r="T17" s="252">
        <f t="shared" si="0"/>
        <v>0</v>
      </c>
      <c r="U17" s="254">
        <f t="shared" si="6"/>
        <v>0</v>
      </c>
    </row>
    <row r="18" spans="1:21" ht="30" customHeight="1">
      <c r="A18" s="255">
        <f t="shared" si="1"/>
        <v>46188</v>
      </c>
      <c r="B18" s="178"/>
      <c r="C18" s="115"/>
      <c r="D18" s="115"/>
      <c r="E18" s="180"/>
      <c r="F18" s="307"/>
      <c r="G18" s="308"/>
      <c r="H18" s="308"/>
      <c r="I18" s="309"/>
      <c r="J18" s="327"/>
      <c r="K18" s="328"/>
      <c r="L18" s="328"/>
      <c r="M18" s="329"/>
      <c r="N18" s="307"/>
      <c r="O18" s="309"/>
      <c r="P18" s="244">
        <f t="shared" si="2"/>
        <v>0</v>
      </c>
      <c r="Q18" s="245">
        <f t="shared" si="3"/>
        <v>0</v>
      </c>
      <c r="R18" s="244">
        <f t="shared" si="4"/>
        <v>0</v>
      </c>
      <c r="S18" s="245">
        <f t="shared" si="5"/>
        <v>0</v>
      </c>
      <c r="T18" s="252">
        <f t="shared" si="0"/>
        <v>0</v>
      </c>
      <c r="U18" s="254">
        <f t="shared" si="6"/>
        <v>0</v>
      </c>
    </row>
    <row r="19" spans="1:21" ht="30" customHeight="1">
      <c r="A19" s="251">
        <f t="shared" si="1"/>
        <v>46189</v>
      </c>
      <c r="B19" s="178">
        <v>32</v>
      </c>
      <c r="C19" s="115">
        <v>1005.44</v>
      </c>
      <c r="D19" s="115"/>
      <c r="E19" s="180"/>
      <c r="F19" s="307"/>
      <c r="G19" s="308"/>
      <c r="H19" s="308"/>
      <c r="I19" s="309"/>
      <c r="J19" s="327"/>
      <c r="K19" s="328"/>
      <c r="L19" s="328"/>
      <c r="M19" s="329"/>
      <c r="N19" s="307"/>
      <c r="O19" s="309"/>
      <c r="P19" s="244">
        <f t="shared" si="2"/>
        <v>32</v>
      </c>
      <c r="Q19" s="245">
        <f t="shared" si="3"/>
        <v>1005.44</v>
      </c>
      <c r="R19" s="244">
        <f t="shared" si="4"/>
        <v>0</v>
      </c>
      <c r="S19" s="245">
        <f t="shared" si="5"/>
        <v>0</v>
      </c>
      <c r="T19" s="252">
        <f t="shared" si="0"/>
        <v>32</v>
      </c>
      <c r="U19" s="254">
        <f t="shared" si="6"/>
        <v>1005.44</v>
      </c>
    </row>
    <row r="20" spans="1:21" ht="30" customHeight="1">
      <c r="A20" s="255">
        <f t="shared" si="1"/>
        <v>46190</v>
      </c>
      <c r="B20" s="178">
        <v>50</v>
      </c>
      <c r="C20" s="115">
        <v>1661.77</v>
      </c>
      <c r="D20" s="115">
        <v>8</v>
      </c>
      <c r="E20" s="180">
        <v>273.05</v>
      </c>
      <c r="F20" s="307"/>
      <c r="G20" s="308"/>
      <c r="H20" s="308"/>
      <c r="I20" s="309"/>
      <c r="J20" s="327"/>
      <c r="K20" s="328"/>
      <c r="L20" s="328"/>
      <c r="M20" s="329"/>
      <c r="N20" s="307">
        <v>17</v>
      </c>
      <c r="O20" s="309">
        <v>591.02</v>
      </c>
      <c r="P20" s="244">
        <f t="shared" si="2"/>
        <v>50</v>
      </c>
      <c r="Q20" s="245">
        <f t="shared" si="3"/>
        <v>1661.77</v>
      </c>
      <c r="R20" s="244">
        <f t="shared" si="4"/>
        <v>25</v>
      </c>
      <c r="S20" s="245">
        <f t="shared" si="5"/>
        <v>864.06999999999994</v>
      </c>
      <c r="T20" s="252">
        <f t="shared" si="0"/>
        <v>75</v>
      </c>
      <c r="U20" s="254">
        <f t="shared" si="6"/>
        <v>2525.84</v>
      </c>
    </row>
    <row r="21" spans="1:21" ht="30" customHeight="1">
      <c r="A21" s="251">
        <f t="shared" si="1"/>
        <v>46191</v>
      </c>
      <c r="B21" s="178">
        <v>31</v>
      </c>
      <c r="C21" s="115">
        <v>1034.8</v>
      </c>
      <c r="D21" s="115"/>
      <c r="E21" s="180"/>
      <c r="F21" s="307"/>
      <c r="G21" s="308"/>
      <c r="H21" s="308"/>
      <c r="I21" s="309"/>
      <c r="J21" s="327">
        <v>6</v>
      </c>
      <c r="K21" s="328">
        <v>193.09</v>
      </c>
      <c r="L21" s="328"/>
      <c r="M21" s="329"/>
      <c r="N21" s="307"/>
      <c r="O21" s="309"/>
      <c r="P21" s="244">
        <f t="shared" si="2"/>
        <v>37</v>
      </c>
      <c r="Q21" s="245">
        <f>+C21+G21+K21</f>
        <v>1227.8899999999999</v>
      </c>
      <c r="R21" s="244">
        <f t="shared" si="4"/>
        <v>0</v>
      </c>
      <c r="S21" s="245">
        <f t="shared" si="5"/>
        <v>0</v>
      </c>
      <c r="T21" s="252">
        <f t="shared" si="0"/>
        <v>37</v>
      </c>
      <c r="U21" s="254">
        <f t="shared" si="6"/>
        <v>1227.8899999999999</v>
      </c>
    </row>
    <row r="22" spans="1:21" ht="30" customHeight="1">
      <c r="A22" s="255">
        <f t="shared" si="1"/>
        <v>46192</v>
      </c>
      <c r="B22" s="178"/>
      <c r="C22" s="115"/>
      <c r="D22" s="115"/>
      <c r="E22" s="180"/>
      <c r="F22" s="307"/>
      <c r="G22" s="308"/>
      <c r="H22" s="308"/>
      <c r="I22" s="309"/>
      <c r="J22" s="327"/>
      <c r="K22" s="328"/>
      <c r="L22" s="328"/>
      <c r="M22" s="329"/>
      <c r="N22" s="307"/>
      <c r="O22" s="309"/>
      <c r="P22" s="244">
        <f t="shared" si="2"/>
        <v>0</v>
      </c>
      <c r="Q22" s="245">
        <f t="shared" si="3"/>
        <v>0</v>
      </c>
      <c r="R22" s="244">
        <f t="shared" si="4"/>
        <v>0</v>
      </c>
      <c r="S22" s="245">
        <f t="shared" si="5"/>
        <v>0</v>
      </c>
      <c r="T22" s="252">
        <f t="shared" si="0"/>
        <v>0</v>
      </c>
      <c r="U22" s="254">
        <f t="shared" si="6"/>
        <v>0</v>
      </c>
    </row>
    <row r="23" spans="1:21" ht="30" customHeight="1">
      <c r="A23" s="251">
        <f t="shared" si="1"/>
        <v>46193</v>
      </c>
      <c r="B23" s="178"/>
      <c r="C23" s="115"/>
      <c r="D23" s="115">
        <v>4</v>
      </c>
      <c r="E23" s="180">
        <v>142.44999999999999</v>
      </c>
      <c r="F23" s="307"/>
      <c r="G23" s="308"/>
      <c r="H23" s="308"/>
      <c r="I23" s="309"/>
      <c r="J23" s="327"/>
      <c r="K23" s="328"/>
      <c r="L23" s="328"/>
      <c r="M23" s="329"/>
      <c r="N23" s="307">
        <v>12</v>
      </c>
      <c r="O23" s="309">
        <v>434.46</v>
      </c>
      <c r="P23" s="244">
        <f t="shared" si="2"/>
        <v>0</v>
      </c>
      <c r="Q23" s="245">
        <f t="shared" si="3"/>
        <v>0</v>
      </c>
      <c r="R23" s="244">
        <f t="shared" si="4"/>
        <v>16</v>
      </c>
      <c r="S23" s="245">
        <f t="shared" si="5"/>
        <v>576.91</v>
      </c>
      <c r="T23" s="252">
        <f t="shared" si="0"/>
        <v>16</v>
      </c>
      <c r="U23" s="254">
        <f t="shared" si="6"/>
        <v>576.91</v>
      </c>
    </row>
    <row r="24" spans="1:21" ht="30" customHeight="1">
      <c r="A24" s="255">
        <f t="shared" si="1"/>
        <v>46194</v>
      </c>
      <c r="B24" s="178"/>
      <c r="C24" s="115"/>
      <c r="D24" s="115"/>
      <c r="E24" s="180"/>
      <c r="F24" s="307"/>
      <c r="G24" s="308"/>
      <c r="H24" s="308"/>
      <c r="I24" s="309"/>
      <c r="J24" s="327"/>
      <c r="K24" s="328"/>
      <c r="L24" s="328"/>
      <c r="M24" s="329"/>
      <c r="N24" s="307"/>
      <c r="O24" s="309"/>
      <c r="P24" s="244">
        <f t="shared" si="2"/>
        <v>0</v>
      </c>
      <c r="Q24" s="245">
        <f t="shared" si="3"/>
        <v>0</v>
      </c>
      <c r="R24" s="244">
        <f t="shared" si="4"/>
        <v>0</v>
      </c>
      <c r="S24" s="245">
        <f t="shared" si="5"/>
        <v>0</v>
      </c>
      <c r="T24" s="252">
        <f t="shared" si="0"/>
        <v>0</v>
      </c>
      <c r="U24" s="254">
        <f t="shared" si="6"/>
        <v>0</v>
      </c>
    </row>
    <row r="25" spans="1:21" ht="30" customHeight="1">
      <c r="A25" s="251">
        <f t="shared" si="1"/>
        <v>46195</v>
      </c>
      <c r="B25" s="178"/>
      <c r="C25" s="115"/>
      <c r="D25" s="115">
        <v>20</v>
      </c>
      <c r="E25" s="180">
        <v>726.83</v>
      </c>
      <c r="F25" s="307"/>
      <c r="G25" s="308"/>
      <c r="H25" s="308"/>
      <c r="I25" s="309"/>
      <c r="J25" s="327"/>
      <c r="K25" s="328"/>
      <c r="L25" s="328"/>
      <c r="M25" s="329"/>
      <c r="N25" s="307">
        <v>39</v>
      </c>
      <c r="O25" s="309">
        <v>1418.85</v>
      </c>
      <c r="P25" s="244">
        <f t="shared" si="2"/>
        <v>0</v>
      </c>
      <c r="Q25" s="245">
        <f t="shared" si="3"/>
        <v>0</v>
      </c>
      <c r="R25" s="244">
        <f t="shared" si="4"/>
        <v>59</v>
      </c>
      <c r="S25" s="245">
        <f t="shared" si="5"/>
        <v>2145.6799999999998</v>
      </c>
      <c r="T25" s="252">
        <f t="shared" si="0"/>
        <v>59</v>
      </c>
      <c r="U25" s="254">
        <f t="shared" si="6"/>
        <v>2145.6799999999998</v>
      </c>
    </row>
    <row r="26" spans="1:21" ht="30" customHeight="1">
      <c r="A26" s="255">
        <f t="shared" si="1"/>
        <v>46196</v>
      </c>
      <c r="B26" s="178">
        <v>56</v>
      </c>
      <c r="C26" s="115">
        <v>1850.6</v>
      </c>
      <c r="D26" s="115"/>
      <c r="E26" s="180"/>
      <c r="F26" s="307"/>
      <c r="G26" s="308"/>
      <c r="H26" s="308"/>
      <c r="I26" s="309"/>
      <c r="J26" s="327"/>
      <c r="K26" s="328"/>
      <c r="L26" s="328"/>
      <c r="M26" s="329"/>
      <c r="N26" s="307"/>
      <c r="O26" s="309"/>
      <c r="P26" s="244">
        <f t="shared" si="2"/>
        <v>56</v>
      </c>
      <c r="Q26" s="245">
        <f t="shared" si="3"/>
        <v>1850.6</v>
      </c>
      <c r="R26" s="244">
        <f t="shared" si="4"/>
        <v>0</v>
      </c>
      <c r="S26" s="245">
        <f t="shared" si="5"/>
        <v>0</v>
      </c>
      <c r="T26" s="252">
        <f t="shared" si="0"/>
        <v>56</v>
      </c>
      <c r="U26" s="254">
        <f t="shared" si="6"/>
        <v>1850.6</v>
      </c>
    </row>
    <row r="27" spans="1:21" ht="30" customHeight="1">
      <c r="A27" s="251">
        <f t="shared" si="1"/>
        <v>46197</v>
      </c>
      <c r="B27" s="178">
        <v>25</v>
      </c>
      <c r="C27" s="115">
        <v>824.53</v>
      </c>
      <c r="D27" s="115"/>
      <c r="E27" s="180"/>
      <c r="F27" s="307"/>
      <c r="G27" s="308"/>
      <c r="H27" s="308"/>
      <c r="I27" s="309"/>
      <c r="J27" s="327">
        <v>15</v>
      </c>
      <c r="K27" s="328">
        <v>499.92</v>
      </c>
      <c r="L27" s="328"/>
      <c r="M27" s="329"/>
      <c r="N27" s="307"/>
      <c r="O27" s="309"/>
      <c r="P27" s="244">
        <f t="shared" si="2"/>
        <v>40</v>
      </c>
      <c r="Q27" s="245">
        <f t="shared" si="3"/>
        <v>1324.45</v>
      </c>
      <c r="R27" s="244">
        <f t="shared" si="4"/>
        <v>0</v>
      </c>
      <c r="S27" s="245">
        <f t="shared" si="5"/>
        <v>0</v>
      </c>
      <c r="T27" s="252">
        <f t="shared" si="0"/>
        <v>40</v>
      </c>
      <c r="U27" s="254">
        <f t="shared" si="6"/>
        <v>1324.45</v>
      </c>
    </row>
    <row r="28" spans="1:21" ht="30" customHeight="1">
      <c r="A28" s="255">
        <f t="shared" si="1"/>
        <v>46198</v>
      </c>
      <c r="B28" s="178">
        <v>15</v>
      </c>
      <c r="C28" s="115">
        <v>509.1</v>
      </c>
      <c r="D28" s="115"/>
      <c r="E28" s="180"/>
      <c r="F28" s="307">
        <v>11</v>
      </c>
      <c r="G28" s="308">
        <v>381.8</v>
      </c>
      <c r="H28" s="308"/>
      <c r="I28" s="309"/>
      <c r="J28" s="327">
        <v>6</v>
      </c>
      <c r="K28" s="328">
        <v>202.09</v>
      </c>
      <c r="L28" s="328"/>
      <c r="M28" s="329"/>
      <c r="N28" s="307"/>
      <c r="O28" s="309"/>
      <c r="P28" s="244">
        <f t="shared" si="2"/>
        <v>32</v>
      </c>
      <c r="Q28" s="245">
        <f t="shared" si="3"/>
        <v>1092.99</v>
      </c>
      <c r="R28" s="244">
        <f t="shared" si="4"/>
        <v>0</v>
      </c>
      <c r="S28" s="245">
        <f t="shared" si="5"/>
        <v>0</v>
      </c>
      <c r="T28" s="252">
        <f t="shared" si="0"/>
        <v>32</v>
      </c>
      <c r="U28" s="254">
        <f t="shared" si="6"/>
        <v>1092.99</v>
      </c>
    </row>
    <row r="29" spans="1:21" ht="30" customHeight="1">
      <c r="A29" s="251">
        <f t="shared" si="1"/>
        <v>46199</v>
      </c>
      <c r="B29" s="178">
        <v>2</v>
      </c>
      <c r="C29" s="115">
        <v>63.22</v>
      </c>
      <c r="D29" s="115">
        <v>18</v>
      </c>
      <c r="E29" s="180">
        <v>676.01</v>
      </c>
      <c r="F29" s="307">
        <v>34</v>
      </c>
      <c r="G29" s="308">
        <v>1089.06</v>
      </c>
      <c r="H29" s="308"/>
      <c r="I29" s="309"/>
      <c r="J29" s="327"/>
      <c r="K29" s="328"/>
      <c r="L29" s="328"/>
      <c r="M29" s="329"/>
      <c r="N29" s="307">
        <v>23</v>
      </c>
      <c r="O29" s="309">
        <v>849.02</v>
      </c>
      <c r="P29" s="244">
        <f t="shared" si="2"/>
        <v>36</v>
      </c>
      <c r="Q29" s="245">
        <f t="shared" si="3"/>
        <v>1152.28</v>
      </c>
      <c r="R29" s="244">
        <f t="shared" si="4"/>
        <v>41</v>
      </c>
      <c r="S29" s="245">
        <f t="shared" si="5"/>
        <v>1525.03</v>
      </c>
      <c r="T29" s="252">
        <f t="shared" si="0"/>
        <v>77</v>
      </c>
      <c r="U29" s="254">
        <f t="shared" si="6"/>
        <v>2677.31</v>
      </c>
    </row>
    <row r="30" spans="1:21" ht="30" customHeight="1">
      <c r="A30" s="255">
        <f t="shared" si="1"/>
        <v>46200</v>
      </c>
      <c r="B30" s="178"/>
      <c r="C30" s="115"/>
      <c r="D30" s="115"/>
      <c r="E30" s="180"/>
      <c r="F30" s="307"/>
      <c r="G30" s="308"/>
      <c r="H30" s="308"/>
      <c r="I30" s="309"/>
      <c r="J30" s="327"/>
      <c r="K30" s="328"/>
      <c r="L30" s="328"/>
      <c r="M30" s="329"/>
      <c r="N30" s="307"/>
      <c r="O30" s="309"/>
      <c r="P30" s="244">
        <f t="shared" si="2"/>
        <v>0</v>
      </c>
      <c r="Q30" s="245">
        <f t="shared" si="3"/>
        <v>0</v>
      </c>
      <c r="R30" s="244">
        <f t="shared" si="4"/>
        <v>0</v>
      </c>
      <c r="S30" s="245">
        <f t="shared" si="5"/>
        <v>0</v>
      </c>
      <c r="T30" s="252">
        <f t="shared" si="0"/>
        <v>0</v>
      </c>
      <c r="U30" s="254">
        <f t="shared" si="6"/>
        <v>0</v>
      </c>
    </row>
    <row r="31" spans="1:21" ht="30" customHeight="1">
      <c r="A31" s="251">
        <f t="shared" si="1"/>
        <v>46201</v>
      </c>
      <c r="B31" s="178"/>
      <c r="C31" s="115"/>
      <c r="D31" s="115"/>
      <c r="E31" s="180"/>
      <c r="F31" s="307"/>
      <c r="G31" s="308"/>
      <c r="H31" s="308"/>
      <c r="I31" s="309"/>
      <c r="J31" s="327"/>
      <c r="K31" s="328"/>
      <c r="L31" s="328"/>
      <c r="M31" s="329"/>
      <c r="N31" s="307"/>
      <c r="O31" s="309"/>
      <c r="P31" s="244">
        <f t="shared" si="2"/>
        <v>0</v>
      </c>
      <c r="Q31" s="245">
        <f t="shared" si="3"/>
        <v>0</v>
      </c>
      <c r="R31" s="244">
        <f t="shared" si="4"/>
        <v>0</v>
      </c>
      <c r="S31" s="245">
        <f t="shared" si="5"/>
        <v>0</v>
      </c>
      <c r="T31" s="252">
        <f t="shared" si="0"/>
        <v>0</v>
      </c>
      <c r="U31" s="254">
        <f t="shared" si="6"/>
        <v>0</v>
      </c>
    </row>
    <row r="32" spans="1:21" ht="30" customHeight="1">
      <c r="A32" s="255">
        <f t="shared" si="1"/>
        <v>46202</v>
      </c>
      <c r="B32" s="178"/>
      <c r="C32" s="115"/>
      <c r="D32" s="115">
        <v>47</v>
      </c>
      <c r="E32" s="180">
        <v>1757.42</v>
      </c>
      <c r="F32" s="307"/>
      <c r="G32" s="308"/>
      <c r="H32" s="308"/>
      <c r="I32" s="309"/>
      <c r="J32" s="327"/>
      <c r="K32" s="328"/>
      <c r="L32" s="328"/>
      <c r="M32" s="329"/>
      <c r="N32" s="307">
        <v>93</v>
      </c>
      <c r="O32" s="309">
        <v>3313.48</v>
      </c>
      <c r="P32" s="244">
        <f t="shared" si="2"/>
        <v>0</v>
      </c>
      <c r="Q32" s="245">
        <f t="shared" si="3"/>
        <v>0</v>
      </c>
      <c r="R32" s="244">
        <f t="shared" si="4"/>
        <v>140</v>
      </c>
      <c r="S32" s="245">
        <f t="shared" si="5"/>
        <v>5070.8999999999996</v>
      </c>
      <c r="T32" s="252">
        <f t="shared" si="0"/>
        <v>140</v>
      </c>
      <c r="U32" s="254">
        <f t="shared" si="6"/>
        <v>5070.8999999999996</v>
      </c>
    </row>
    <row r="33" spans="1:21" ht="30" customHeight="1">
      <c r="A33" s="257">
        <f t="shared" si="1"/>
        <v>46203</v>
      </c>
      <c r="B33" s="178">
        <v>37</v>
      </c>
      <c r="C33" s="115">
        <v>1164.3599999999999</v>
      </c>
      <c r="D33" s="115"/>
      <c r="E33" s="180"/>
      <c r="F33" s="307">
        <v>18</v>
      </c>
      <c r="G33" s="308">
        <v>574.91</v>
      </c>
      <c r="H33" s="308"/>
      <c r="I33" s="309"/>
      <c r="J33" s="327">
        <v>8</v>
      </c>
      <c r="K33" s="328">
        <v>243.97</v>
      </c>
      <c r="L33" s="328"/>
      <c r="M33" s="329"/>
      <c r="N33" s="307"/>
      <c r="O33" s="309"/>
      <c r="P33" s="244">
        <f t="shared" si="2"/>
        <v>63</v>
      </c>
      <c r="Q33" s="245">
        <f t="shared" si="3"/>
        <v>1983.24</v>
      </c>
      <c r="R33" s="244">
        <f t="shared" si="4"/>
        <v>0</v>
      </c>
      <c r="S33" s="245">
        <f t="shared" si="5"/>
        <v>0</v>
      </c>
      <c r="T33" s="252">
        <f t="shared" si="0"/>
        <v>63</v>
      </c>
      <c r="U33" s="254">
        <f t="shared" si="6"/>
        <v>1983.24</v>
      </c>
    </row>
    <row r="34" spans="1:21" ht="30" customHeight="1" thickBot="1">
      <c r="A34" s="258">
        <f t="shared" si="1"/>
        <v>46204</v>
      </c>
      <c r="B34" s="206"/>
      <c r="C34" s="207"/>
      <c r="D34" s="207"/>
      <c r="E34" s="208"/>
      <c r="F34" s="310"/>
      <c r="G34" s="311"/>
      <c r="H34" s="311"/>
      <c r="I34" s="312"/>
      <c r="J34" s="327"/>
      <c r="K34" s="328"/>
      <c r="L34" s="328"/>
      <c r="M34" s="329"/>
      <c r="N34" s="332"/>
      <c r="O34" s="333"/>
      <c r="P34" s="244">
        <f t="shared" si="2"/>
        <v>0</v>
      </c>
      <c r="Q34" s="245">
        <f t="shared" si="3"/>
        <v>0</v>
      </c>
      <c r="R34" s="244">
        <f t="shared" si="4"/>
        <v>0</v>
      </c>
      <c r="S34" s="245">
        <f t="shared" si="5"/>
        <v>0</v>
      </c>
      <c r="T34" s="252">
        <f t="shared" si="0"/>
        <v>0</v>
      </c>
      <c r="U34" s="254">
        <f t="shared" si="6"/>
        <v>0</v>
      </c>
    </row>
    <row r="35" spans="1:21" s="141" customFormat="1" ht="21.6" thickBot="1">
      <c r="A35" s="259" t="s">
        <v>27</v>
      </c>
      <c r="B35" s="382">
        <f>SUM(B4:B34)</f>
        <v>579</v>
      </c>
      <c r="C35" s="382">
        <f t="shared" ref="C35:U35" si="7">SUM(C4:C34)</f>
        <v>18347.400000000001</v>
      </c>
      <c r="D35" s="382">
        <f t="shared" si="7"/>
        <v>365</v>
      </c>
      <c r="E35" s="382">
        <f t="shared" si="7"/>
        <v>12759.43</v>
      </c>
      <c r="F35" s="383">
        <f t="shared" si="7"/>
        <v>63</v>
      </c>
      <c r="G35" s="383">
        <f t="shared" si="7"/>
        <v>2045.77</v>
      </c>
      <c r="H35" s="383">
        <f t="shared" si="7"/>
        <v>0</v>
      </c>
      <c r="I35" s="384">
        <f t="shared" si="7"/>
        <v>0</v>
      </c>
      <c r="J35" s="385">
        <f t="shared" si="7"/>
        <v>35</v>
      </c>
      <c r="K35" s="385">
        <f t="shared" si="7"/>
        <v>1139.07</v>
      </c>
      <c r="L35" s="385">
        <f t="shared" si="7"/>
        <v>0</v>
      </c>
      <c r="M35" s="386">
        <f t="shared" si="7"/>
        <v>0</v>
      </c>
      <c r="N35" s="387">
        <f t="shared" si="7"/>
        <v>347</v>
      </c>
      <c r="O35" s="383">
        <f t="shared" si="7"/>
        <v>12292.34</v>
      </c>
      <c r="P35" s="297">
        <f t="shared" si="7"/>
        <v>677</v>
      </c>
      <c r="Q35" s="297">
        <f t="shared" si="7"/>
        <v>21532.240000000002</v>
      </c>
      <c r="R35" s="297">
        <f t="shared" si="7"/>
        <v>712</v>
      </c>
      <c r="S35" s="297">
        <f t="shared" si="7"/>
        <v>25051.769999999997</v>
      </c>
      <c r="T35" s="260">
        <f t="shared" si="7"/>
        <v>1389</v>
      </c>
      <c r="U35" s="260">
        <f t="shared" si="7"/>
        <v>46584.009999999987</v>
      </c>
    </row>
    <row r="36" spans="1:21" s="264" customFormat="1" ht="21.6" thickBot="1">
      <c r="A36" s="261" t="s">
        <v>52</v>
      </c>
      <c r="B36" s="243">
        <f>+B35+D35</f>
        <v>944</v>
      </c>
      <c r="C36" s="357">
        <f>+C35+E35</f>
        <v>31106.83</v>
      </c>
      <c r="D36" s="358"/>
      <c r="E36" s="358"/>
      <c r="F36" s="313">
        <f>+F35+H35</f>
        <v>63</v>
      </c>
      <c r="G36" s="349">
        <f>+G35+I35</f>
        <v>2045.77</v>
      </c>
      <c r="H36" s="350"/>
      <c r="I36" s="350"/>
      <c r="J36" s="330">
        <f>+J35+L35</f>
        <v>35</v>
      </c>
      <c r="K36" s="353">
        <f>+K35+M35</f>
        <v>1139.07</v>
      </c>
      <c r="L36" s="354"/>
      <c r="M36" s="331"/>
      <c r="N36" s="334">
        <f>+N35</f>
        <v>347</v>
      </c>
      <c r="O36" s="314">
        <f>+O35</f>
        <v>12292.34</v>
      </c>
      <c r="P36" s="337"/>
      <c r="Q36" s="351">
        <f>+Q35+S35</f>
        <v>46584.009999999995</v>
      </c>
      <c r="R36" s="352"/>
      <c r="S36" s="338"/>
      <c r="T36" s="262"/>
      <c r="U36" s="263"/>
    </row>
    <row r="37" spans="1:21" s="264" customFormat="1" ht="9" customHeight="1" thickBot="1">
      <c r="A37" s="265"/>
      <c r="B37" s="266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8"/>
      <c r="U37" s="269"/>
    </row>
    <row r="38" spans="1:21" ht="36">
      <c r="A38" s="359" t="s">
        <v>106</v>
      </c>
      <c r="B38" s="360"/>
      <c r="C38" s="360"/>
      <c r="D38" s="270">
        <v>0</v>
      </c>
      <c r="E38" s="271" t="s">
        <v>135</v>
      </c>
      <c r="F38" s="272"/>
      <c r="G38" s="273" t="s">
        <v>112</v>
      </c>
      <c r="H38" s="274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U38" s="120"/>
    </row>
    <row r="39" spans="1:21" ht="18">
      <c r="A39" s="276" t="s">
        <v>107</v>
      </c>
      <c r="B39" s="277"/>
      <c r="C39" s="277"/>
      <c r="D39" s="30">
        <f>+O35</f>
        <v>12292.34</v>
      </c>
      <c r="E39" s="278" t="s">
        <v>53</v>
      </c>
      <c r="F39" s="38" t="s">
        <v>54</v>
      </c>
      <c r="G39" s="38" t="s">
        <v>53</v>
      </c>
      <c r="H39" s="279" t="s">
        <v>54</v>
      </c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</row>
    <row r="40" spans="1:21" ht="18">
      <c r="A40" s="343" t="s">
        <v>108</v>
      </c>
      <c r="B40" s="344"/>
      <c r="C40" s="344"/>
      <c r="D40" s="30">
        <f>I35+G35</f>
        <v>2045.77</v>
      </c>
      <c r="E40" s="280"/>
      <c r="F40" s="281"/>
      <c r="G40" s="282"/>
      <c r="H40" s="283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</row>
    <row r="41" spans="1:21" ht="18.600000000000001" thickBot="1">
      <c r="A41" s="355" t="s">
        <v>75</v>
      </c>
      <c r="B41" s="356"/>
      <c r="C41" s="356"/>
      <c r="D41" s="284">
        <f>C35+E35</f>
        <v>31106.83</v>
      </c>
      <c r="E41" s="285"/>
      <c r="F41" s="286"/>
      <c r="G41" s="286"/>
      <c r="H41" s="287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</row>
    <row r="42" spans="1:21">
      <c r="A42" s="288" t="s">
        <v>31</v>
      </c>
      <c r="B42" s="288"/>
      <c r="C42" s="289"/>
      <c r="D42" s="290">
        <f>SUM(D38:D41)</f>
        <v>45444.94</v>
      </c>
      <c r="E42" s="291" t="s">
        <v>113</v>
      </c>
      <c r="F42" s="292">
        <f>+C35+G35</f>
        <v>20393.170000000002</v>
      </c>
    </row>
    <row r="43" spans="1:21">
      <c r="E43" s="291" t="s">
        <v>114</v>
      </c>
      <c r="F43" s="292">
        <f>+E35+I35+O35</f>
        <v>25051.77</v>
      </c>
    </row>
    <row r="44" spans="1:21" ht="18.600000000000001" thickBot="1">
      <c r="C44" s="294"/>
      <c r="E44" s="295" t="s">
        <v>115</v>
      </c>
      <c r="F44" s="296">
        <f>SUM(F42:F43)</f>
        <v>45444.94</v>
      </c>
    </row>
  </sheetData>
  <mergeCells count="15">
    <mergeCell ref="A41:C41"/>
    <mergeCell ref="C36:E36"/>
    <mergeCell ref="A38:C38"/>
    <mergeCell ref="B2:E2"/>
    <mergeCell ref="F2:I2"/>
    <mergeCell ref="A1:O1"/>
    <mergeCell ref="P1:U1"/>
    <mergeCell ref="N2:O2"/>
    <mergeCell ref="A40:C40"/>
    <mergeCell ref="T2:U2"/>
    <mergeCell ref="P2:Q2"/>
    <mergeCell ref="R2:S2"/>
    <mergeCell ref="G36:I36"/>
    <mergeCell ref="Q36:R36"/>
    <mergeCell ref="K36:L36"/>
  </mergeCells>
  <printOptions horizontalCentered="1"/>
  <pageMargins left="0.19685039370078741" right="0.15748031496062992" top="0.15748031496062992" bottom="0.15748031496062992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TRIP DETAILs</vt:lpstr>
      <vt:lpstr>JUNE-2026</vt:lpstr>
      <vt:lpstr>SHIFTING DATA</vt:lpstr>
      <vt:lpstr>'JUNE-2026'!Print_Area</vt:lpstr>
      <vt:lpstr>'SHIFTING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BSM</dc:creator>
  <cp:lastModifiedBy>Kshirod kumar Barik</cp:lastModifiedBy>
  <cp:lastPrinted>2025-06-28T06:23:23Z</cp:lastPrinted>
  <dcterms:created xsi:type="dcterms:W3CDTF">2015-06-05T18:17:00Z</dcterms:created>
  <dcterms:modified xsi:type="dcterms:W3CDTF">2026-07-02T10:55:14Z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03F6545FC5444F3DA1AA6879D377E1EA</vt:lpwstr>
  </property>
  <property fmtid="{D5CDD505-2E9C-101B-9397-08002B2CF9AE}" pid="3" name="KSOProductBuildVer">
    <vt:lpwstr>2057-11.2.0.11440</vt:lpwstr>
  </property>
</Properties>
</file>